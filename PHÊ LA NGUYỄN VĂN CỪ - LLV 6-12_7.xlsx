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V 6-127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tc={3371b936-e34a-4175-8e65-b6b47f0fdc1a}</author>
    <author>tc={380927a5-15f2-44ee-bebb-df44e8680559}</author>
    <author>tc={58d69bfc-af57-45cc-8c33-9a87d2363960}</author>
    <author>tc={7fd1dd4b-351f-4a6d-b332-68b4116abc5d}</author>
    <author>tc={85a0673f-70f3-4870-b835-b1355736bed1}</author>
    <author>tc={a0d9f514-e0c8-4e97-87ea-4a6d86dd7b57}</author>
    <author>tc={a31854bf-157f-4e84-8f34-7bceb9185bb9}</author>
  </authors>
  <commentList>
    <comment authorId="0" xr:uid="{3371b936-e34a-4175-8e65-b6b47f0fdc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
</t>
      </text>
    </comment>
    <comment authorId="1" xr:uid="{380927a5-15f2-44ee-bebb-df44e868055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hôm này e chỉ làm đc đến 15h thôi nhé
</t>
      </text>
    </comment>
    <comment authorId="2" xr:uid="{58d69bfc-af57-45cc-8c33-9a87d23639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 ổn e mở ca 1 mình cũm được
</t>
      </text>
    </comment>
    <comment authorId="3" xr:uid="{7fd1dd4b-351f-4a6d-b332-68b4116abc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
</t>
      </text>
    </comment>
    <comment authorId="4" xr:uid="{85a0673f-70f3-4870-b835-b1355736be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
</t>
      </text>
    </comment>
    <comment authorId="5" xr:uid="{a0d9f514-e0c8-4e97-87ea-4a6d86dd7b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? cắt
Reply:
	vắng quá phải cắt thôi
</t>
      </text>
    </comment>
    <comment authorId="6" xr:uid="{a31854bf-157f-4e84-8f34-7bceb9185b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off
</t>
      </text>
    </comment>
  </commentList>
</comments>
</file>

<file path=xl/sharedStrings.xml><?xml version="1.0" encoding="utf-8"?>
<sst xmlns="http://schemas.openxmlformats.org/spreadsheetml/2006/main" count="220" uniqueCount="74">
  <si>
    <t>A: 7h - 15h</t>
  </si>
  <si>
    <t>PHÊ LA NGUYỄN VĂN CỪ</t>
  </si>
  <si>
    <t>B: 15h - 23h</t>
  </si>
  <si>
    <t>G: 10h - 18h</t>
  </si>
  <si>
    <t>7h - 12h</t>
  </si>
  <si>
    <t>12h - 18h</t>
  </si>
  <si>
    <t>18h - 23h</t>
  </si>
  <si>
    <t>Chức vụ</t>
  </si>
  <si>
    <t>Vị trí</t>
  </si>
  <si>
    <t>THỨ 2</t>
  </si>
  <si>
    <t>THỨ 3</t>
  </si>
  <si>
    <t>THỨ 4</t>
  </si>
  <si>
    <t>THỨ 5</t>
  </si>
  <si>
    <t>THỨ 6</t>
  </si>
  <si>
    <t>THỨ 7</t>
  </si>
  <si>
    <t>CHỦ NHẬT</t>
  </si>
  <si>
    <t>OFF</t>
  </si>
  <si>
    <t xml:space="preserve">Nguyễn Duy Anh </t>
  </si>
  <si>
    <t>SM</t>
  </si>
  <si>
    <t>MOD</t>
  </si>
  <si>
    <t>07-15</t>
  </si>
  <si>
    <t>VHT</t>
  </si>
  <si>
    <t>15-23</t>
  </si>
  <si>
    <t xml:space="preserve">    </t>
  </si>
  <si>
    <t>Hà Xuân Thủy</t>
  </si>
  <si>
    <t>MB</t>
  </si>
  <si>
    <t>Nguyễn Kim Huệ</t>
  </si>
  <si>
    <t>FT</t>
  </si>
  <si>
    <t>Đinh Thị Ngọc Mai</t>
  </si>
  <si>
    <t>07-12</t>
  </si>
  <si>
    <t>06-12</t>
  </si>
  <si>
    <t>Lê Linh Chi</t>
  </si>
  <si>
    <t>06-15</t>
  </si>
  <si>
    <t>Phạm Hồng Ngân</t>
  </si>
  <si>
    <t>10-18</t>
  </si>
  <si>
    <t>07-18</t>
  </si>
  <si>
    <t>Off</t>
  </si>
  <si>
    <t>Lương Gia Linh</t>
  </si>
  <si>
    <t>12-18</t>
  </si>
  <si>
    <t>18-23</t>
  </si>
  <si>
    <t>Hạng A Sình</t>
  </si>
  <si>
    <t>Nguyễn Thùy Trang</t>
  </si>
  <si>
    <t>Cao Xuân Cường</t>
  </si>
  <si>
    <t>CL</t>
  </si>
  <si>
    <t xml:space="preserve"> </t>
  </si>
  <si>
    <t>Nguyễn Thùy Dương</t>
  </si>
  <si>
    <t>Tạ Hoài Thu</t>
  </si>
  <si>
    <t>Nguyễn Hoàng Nam</t>
  </si>
  <si>
    <t>HV</t>
  </si>
  <si>
    <t>Tạ Tiến Đạt</t>
  </si>
  <si>
    <t>Nguyễn Ban Mai</t>
  </si>
  <si>
    <t>Nguyễn Kiều Anh</t>
  </si>
  <si>
    <t>Nguyễn Đức Mạnh Quang</t>
  </si>
  <si>
    <t>Trần Nhật Trang</t>
  </si>
  <si>
    <t>Phan Hà Anh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</si>
  <si>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</si>
  <si>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</si>
  <si>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</si>
  <si>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</si>
  <si>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</si>
  <si>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</si>
  <si>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</si>
  <si>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</si>
  <si>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</si>
  <si>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</si>
  <si>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</si>
  <si>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</si>
  <si>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</si>
  <si>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</si>
  <si>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</si>
  <si>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</si>
  <si>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</si>
  <si>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</si>
  <si>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 xml:space="preserve">Gửi trước thứ 7 hàng tuần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</si>
</sst>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0.0"/>
      <color rgb="FF000000"/>
      <name val="Arial"/>
      <scheme val="minor"/>
    </font>
    <font>
      <b/>
      <sz val="16.0"/>
      <color theme="1"/>
      <name val="Times New Roman"/>
    </font>
    <font>
      <b/>
      <sz val="47.0"/>
      <color theme="1"/>
      <name val="Times New Roman"/>
    </font>
    <font/>
    <font>
      <b/>
      <sz val="12.0"/>
      <color theme="1"/>
      <name val="Times New Roman"/>
    </font>
    <font>
      <b/>
      <sz val="14.0"/>
      <color theme="1"/>
      <name val="Times New Roman"/>
    </font>
    <font>
      <b/>
      <sz val="14.0"/>
      <color rgb="FF000000"/>
      <name val="Times New Roman"/>
    </font>
    <font>
      <b/>
      <sz val="13.0"/>
      <color theme="1"/>
      <name val="Times New Roman"/>
    </font>
    <font>
      <b/>
      <i/>
      <sz val="16.0"/>
      <color theme="1"/>
      <name val="Times New Roman"/>
    </font>
    <font>
      <b/>
      <sz val="16.0"/>
      <color rgb="FF980000"/>
      <name val="Times New Roman"/>
    </font>
    <font>
      <b/>
      <sz val="14.0"/>
      <color theme="1"/>
      <name val="Oswald"/>
    </font>
    <font>
      <b/>
      <sz val="16.0"/>
      <color rgb="FFC00000"/>
      <name val="Times New Roman"/>
    </font>
    <font>
      <b/>
      <sz val="16.0"/>
      <color rgb="FFFF000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DEEAF6"/>
        <bgColor rgb="FFDEEAF6"/>
      </patternFill>
    </fill>
    <fill>
      <patternFill patternType="solid">
        <fgColor rgb="FFFFD965"/>
        <bgColor rgb="FFFFD965"/>
      </patternFill>
    </fill>
  </fills>
  <borders count="20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hair">
        <color rgb="FF000000"/>
      </right>
      <top style="medium">
        <color rgb="FF999999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999999"/>
      </top>
      <bottom style="hair">
        <color rgb="FF000000"/>
      </bottom>
    </border>
    <border>
      <left style="thick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ck">
        <color rgb="FF000000"/>
      </left>
      <right style="hair">
        <color rgb="FF000000"/>
      </right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2" fillId="3" fontId="1" numFmtId="49" xfId="0" applyAlignment="1" applyBorder="1" applyFill="1" applyFont="1" applyNumberFormat="1">
      <alignment horizontal="center" vertical="center"/>
    </xf>
    <xf borderId="3" fillId="3" fontId="1" numFmtId="49" xfId="0" applyAlignment="1" applyBorder="1" applyFont="1" applyNumberFormat="1">
      <alignment horizontal="center" vertical="center"/>
    </xf>
    <xf borderId="2" fillId="3" fontId="2" numFmtId="49" xfId="0" applyAlignment="1" applyBorder="1" applyFont="1" applyNumberFormat="1">
      <alignment horizontal="center" readingOrder="0" shrinkToFit="0" vertical="center" wrapText="1"/>
    </xf>
    <xf borderId="2" fillId="0" fontId="3" numFmtId="0" xfId="0" applyBorder="1" applyFont="1"/>
    <xf borderId="4" fillId="0" fontId="3" numFmtId="0" xfId="0" applyBorder="1" applyFont="1"/>
    <xf borderId="0" fillId="4" fontId="1" numFmtId="49" xfId="0" applyAlignment="1" applyFill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5" fillId="5" fontId="1" numFmtId="49" xfId="0" applyAlignment="1" applyBorder="1" applyFill="1" applyFont="1" applyNumberFormat="1">
      <alignment horizontal="center" vertical="center"/>
    </xf>
    <xf borderId="0" fillId="3" fontId="1" numFmtId="49" xfId="0" applyAlignment="1" applyFont="1" applyNumberFormat="1">
      <alignment horizontal="center" vertical="center"/>
    </xf>
    <xf borderId="6" fillId="3" fontId="1" numFmtId="49" xfId="0" applyAlignment="1" applyBorder="1" applyFont="1" applyNumberFormat="1">
      <alignment horizontal="center" vertical="center"/>
    </xf>
    <xf borderId="7" fillId="0" fontId="3" numFmtId="0" xfId="0" applyBorder="1" applyFont="1"/>
    <xf borderId="5" fillId="6" fontId="1" numFmtId="49" xfId="0" applyAlignment="1" applyBorder="1" applyFill="1" applyFont="1" applyNumberFormat="1">
      <alignment horizontal="center" vertical="center"/>
    </xf>
    <xf borderId="5" fillId="4" fontId="1" numFmtId="49" xfId="0" applyAlignment="1" applyBorder="1" applyFont="1" applyNumberFormat="1">
      <alignment horizontal="center" vertical="center"/>
    </xf>
    <xf borderId="8" fillId="3" fontId="1" numFmtId="49" xfId="0" applyAlignment="1" applyBorder="1" applyFont="1" applyNumberFormat="1">
      <alignment horizontal="center" vertical="center"/>
    </xf>
    <xf borderId="9" fillId="3" fontId="1" numFmtId="49" xfId="0" applyAlignment="1" applyBorder="1" applyFont="1" applyNumberFormat="1">
      <alignment horizontal="center" vertical="center"/>
    </xf>
    <xf borderId="8" fillId="3" fontId="2" numFmtId="49" xfId="0" applyAlignment="1" applyBorder="1" applyFont="1" applyNumberFormat="1">
      <alignment horizontal="center" readingOrder="0" shrinkToFit="0" vertical="center" wrapText="1"/>
    </xf>
    <xf borderId="5" fillId="3" fontId="2" numFmtId="49" xfId="0" applyAlignment="1" applyBorder="1" applyFont="1" applyNumberFormat="1">
      <alignment horizontal="center" readingOrder="0" shrinkToFit="0" vertical="center" wrapText="1"/>
    </xf>
    <xf borderId="7" fillId="3" fontId="1" numFmtId="49" xfId="0" applyAlignment="1" applyBorder="1" applyFont="1" applyNumberFormat="1">
      <alignment horizontal="center" readingOrder="0" vertical="center"/>
    </xf>
    <xf borderId="10" fillId="3" fontId="1" numFmtId="49" xfId="0" applyAlignment="1" applyBorder="1" applyFont="1" applyNumberFormat="1">
      <alignment horizontal="center" vertical="center"/>
    </xf>
    <xf borderId="10" fillId="0" fontId="1" numFmtId="49" xfId="0" applyAlignment="1" applyBorder="1" applyFont="1" applyNumberFormat="1">
      <alignment horizontal="center" vertical="center"/>
    </xf>
    <xf borderId="5" fillId="0" fontId="3" numFmtId="0" xfId="0" applyBorder="1" applyFont="1"/>
    <xf borderId="10" fillId="3" fontId="1" numFmtId="164" xfId="0" applyAlignment="1" applyBorder="1" applyFont="1" applyNumberFormat="1">
      <alignment horizontal="center" readingOrder="0" vertical="center"/>
    </xf>
    <xf borderId="11" fillId="4" fontId="1" numFmtId="0" xfId="0" applyAlignment="1" applyBorder="1" applyFont="1">
      <alignment horizontal="center" readingOrder="0" shrinkToFit="0" vertical="center" wrapText="1"/>
    </xf>
    <xf borderId="12" fillId="7" fontId="4" numFmtId="49" xfId="0" applyAlignment="1" applyBorder="1" applyFill="1" applyFont="1" applyNumberFormat="1">
      <alignment horizontal="center" readingOrder="0" vertical="center"/>
    </xf>
    <xf borderId="12" fillId="4" fontId="4" numFmtId="49" xfId="0" applyAlignment="1" applyBorder="1" applyFont="1" applyNumberFormat="1">
      <alignment horizontal="center" readingOrder="0" vertical="center"/>
    </xf>
    <xf borderId="10" fillId="0" fontId="5" numFmtId="49" xfId="0" applyAlignment="1" applyBorder="1" applyFont="1" applyNumberFormat="1">
      <alignment horizontal="center" readingOrder="0" shrinkToFit="0" vertical="center" wrapText="1"/>
    </xf>
    <xf borderId="10" fillId="4" fontId="6" numFmtId="49" xfId="0" applyAlignment="1" applyBorder="1" applyFont="1" applyNumberFormat="1">
      <alignment horizontal="center" readingOrder="0" shrinkToFit="0" vertical="center" wrapText="1"/>
    </xf>
    <xf borderId="0" fillId="4" fontId="1" numFmtId="49" xfId="0" applyAlignment="1" applyFont="1" applyNumberFormat="1">
      <alignment horizontal="center" readingOrder="0" vertical="center"/>
    </xf>
    <xf borderId="10" fillId="4" fontId="1" numFmtId="0" xfId="0" applyAlignment="1" applyBorder="1" applyFont="1">
      <alignment horizontal="center" shrinkToFit="0" vertical="center" wrapText="1"/>
    </xf>
    <xf borderId="10" fillId="7" fontId="4" numFmtId="49" xfId="0" applyAlignment="1" applyBorder="1" applyFont="1" applyNumberFormat="1">
      <alignment horizontal="center" readingOrder="0" vertical="center"/>
    </xf>
    <xf borderId="10" fillId="4" fontId="5" numFmtId="49" xfId="0" applyAlignment="1" applyBorder="1" applyFont="1" applyNumberFormat="1">
      <alignment horizontal="center" readingOrder="0" shrinkToFit="0" vertical="center" wrapText="1"/>
    </xf>
    <xf borderId="10" fillId="4" fontId="1" numFmtId="0" xfId="0" applyAlignment="1" applyBorder="1" applyFont="1">
      <alignment horizontal="center" readingOrder="0" shrinkToFit="0" vertical="center" wrapText="1"/>
    </xf>
    <xf borderId="12" fillId="8" fontId="7" numFmtId="49" xfId="0" applyAlignment="1" applyBorder="1" applyFill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10" fillId="4" fontId="4" numFmtId="49" xfId="0" applyAlignment="1" applyBorder="1" applyFont="1" applyNumberFormat="1">
      <alignment horizontal="center" readingOrder="0" vertical="center"/>
    </xf>
    <xf borderId="13" fillId="4" fontId="1" numFmtId="0" xfId="0" applyAlignment="1" applyBorder="1" applyFont="1">
      <alignment horizontal="center" readingOrder="0" shrinkToFit="0" vertical="center" wrapText="1"/>
    </xf>
    <xf borderId="12" fillId="4" fontId="7" numFmtId="49" xfId="0" applyAlignment="1" applyBorder="1" applyFont="1" applyNumberFormat="1">
      <alignment horizontal="center" readingOrder="0" vertical="center"/>
    </xf>
    <xf borderId="3" fillId="4" fontId="1" numFmtId="0" xfId="0" applyAlignment="1" applyBorder="1" applyFont="1">
      <alignment horizontal="center" readingOrder="0" shrinkToFit="0" vertical="center" wrapText="1"/>
    </xf>
    <xf borderId="12" fillId="9" fontId="7" numFmtId="49" xfId="0" applyAlignment="1" applyBorder="1" applyFill="1" applyFont="1" applyNumberFormat="1">
      <alignment horizontal="center" readingOrder="0" vertical="center"/>
    </xf>
    <xf borderId="12" fillId="4" fontId="4" numFmtId="49" xfId="0" applyAlignment="1" applyBorder="1" applyFont="1" applyNumberFormat="1">
      <alignment horizontal="center" vertical="center"/>
    </xf>
    <xf borderId="10" fillId="9" fontId="7" numFmtId="49" xfId="0" applyAlignment="1" applyBorder="1" applyFont="1" applyNumberFormat="1">
      <alignment horizontal="center" readingOrder="0" vertical="center"/>
    </xf>
    <xf borderId="10" fillId="4" fontId="7" numFmtId="49" xfId="0" applyAlignment="1" applyBorder="1" applyFont="1" applyNumberFormat="1">
      <alignment horizontal="center" readingOrder="0" vertical="center"/>
    </xf>
    <xf borderId="10" fillId="4" fontId="4" numFmtId="49" xfId="0" applyAlignment="1" applyBorder="1" applyFont="1" applyNumberFormat="1">
      <alignment horizontal="center" vertical="center"/>
    </xf>
    <xf borderId="10" fillId="4" fontId="1" numFmtId="49" xfId="0" applyAlignment="1" applyBorder="1" applyFont="1" applyNumberFormat="1">
      <alignment horizontal="center" readingOrder="0" vertical="center"/>
    </xf>
    <xf borderId="5" fillId="10" fontId="8" numFmtId="49" xfId="0" applyAlignment="1" applyBorder="1" applyFill="1" applyFont="1" applyNumberFormat="1">
      <alignment horizontal="center" vertical="center"/>
    </xf>
    <xf borderId="5" fillId="4" fontId="9" numFmtId="49" xfId="0" applyAlignment="1" applyBorder="1" applyFont="1" applyNumberFormat="1">
      <alignment horizontal="center" readingOrder="0" vertical="center"/>
    </xf>
    <xf borderId="10" fillId="4" fontId="9" numFmtId="49" xfId="0" applyAlignment="1" applyBorder="1" applyFont="1" applyNumberFormat="1">
      <alignment horizontal="center" readingOrder="0" vertical="center"/>
    </xf>
    <xf borderId="12" fillId="4" fontId="1" numFmtId="49" xfId="0" applyAlignment="1" applyBorder="1" applyFont="1" applyNumberFormat="1">
      <alignment horizontal="center" readingOrder="0" vertical="center"/>
    </xf>
    <xf borderId="5" fillId="4" fontId="9" numFmtId="49" xfId="0" applyAlignment="1" applyBorder="1" applyFont="1" applyNumberFormat="1">
      <alignment horizontal="center" vertical="center"/>
    </xf>
    <xf borderId="10" fillId="4" fontId="9" numFmtId="49" xfId="0" applyAlignment="1" applyBorder="1" applyFont="1" applyNumberFormat="1">
      <alignment horizontal="center" vertical="center"/>
    </xf>
    <xf borderId="7" fillId="4" fontId="1" numFmtId="49" xfId="0" applyAlignment="1" applyBorder="1" applyFont="1" applyNumberFormat="1">
      <alignment horizontal="center" vertical="center"/>
    </xf>
    <xf borderId="7" fillId="10" fontId="1" numFmtId="49" xfId="0" applyAlignment="1" applyBorder="1" applyFont="1" applyNumberFormat="1">
      <alignment horizontal="center" vertical="center"/>
    </xf>
    <xf borderId="5" fillId="10" fontId="1" numFmtId="49" xfId="0" applyAlignment="1" applyBorder="1" applyFont="1" applyNumberFormat="1">
      <alignment horizontal="center" vertical="center"/>
    </xf>
    <xf borderId="7" fillId="3" fontId="1" numFmtId="49" xfId="0" applyAlignment="1" applyBorder="1" applyFont="1" applyNumberFormat="1">
      <alignment horizontal="center" vertical="center"/>
    </xf>
    <xf quotePrefix="1" borderId="14" fillId="0" fontId="10" numFmtId="49" xfId="0" applyAlignment="1" applyBorder="1" applyFont="1" applyNumberFormat="1">
      <alignment horizontal="center" vertical="center"/>
    </xf>
    <xf borderId="15" fillId="0" fontId="10" numFmtId="49" xfId="0" applyAlignment="1" applyBorder="1" applyFont="1" applyNumberFormat="1">
      <alignment horizontal="center" vertical="center"/>
    </xf>
    <xf borderId="5" fillId="0" fontId="9" numFmtId="49" xfId="0" applyAlignment="1" applyBorder="1" applyFont="1" applyNumberFormat="1">
      <alignment horizontal="center" vertical="center"/>
    </xf>
    <xf borderId="16" fillId="0" fontId="10" numFmtId="49" xfId="0" applyAlignment="1" applyBorder="1" applyFont="1" applyNumberFormat="1">
      <alignment horizontal="center" vertical="center"/>
    </xf>
    <xf borderId="17" fillId="0" fontId="10" numFmtId="49" xfId="0" applyAlignment="1" applyBorder="1" applyFont="1" applyNumberFormat="1">
      <alignment horizontal="center" vertical="center"/>
    </xf>
    <xf borderId="5" fillId="0" fontId="9" numFmtId="49" xfId="0" applyAlignment="1" applyBorder="1" applyFont="1" applyNumberFormat="1">
      <alignment horizontal="center" readingOrder="0" vertical="center"/>
    </xf>
    <xf borderId="17" fillId="0" fontId="10" numFmtId="49" xfId="0" applyAlignment="1" applyBorder="1" applyFont="1" applyNumberFormat="1">
      <alignment horizontal="center" readingOrder="0" vertical="center"/>
    </xf>
    <xf borderId="16" fillId="0" fontId="10" numFmtId="49" xfId="0" applyAlignment="1" applyBorder="1" applyFont="1" applyNumberFormat="1">
      <alignment horizontal="center" readingOrder="0" vertical="center"/>
    </xf>
    <xf borderId="18" fillId="0" fontId="10" numFmtId="49" xfId="0" applyAlignment="1" applyBorder="1" applyFont="1" applyNumberFormat="1">
      <alignment horizontal="center" vertical="center"/>
    </xf>
    <xf borderId="19" fillId="0" fontId="10" numFmtId="49" xfId="0" applyAlignment="1" applyBorder="1" applyFont="1" applyNumberFormat="1">
      <alignment horizontal="center" vertical="center"/>
    </xf>
    <xf borderId="7" fillId="0" fontId="11" numFmtId="49" xfId="0" applyAlignment="1" applyBorder="1" applyFont="1" applyNumberFormat="1">
      <alignment horizontal="center" readingOrder="0" vertical="center"/>
    </xf>
    <xf borderId="5" fillId="0" fontId="11" numFmtId="49" xfId="0" applyAlignment="1" applyBorder="1" applyFont="1" applyNumberFormat="1">
      <alignment horizontal="center" readingOrder="0" vertical="center"/>
    </xf>
    <xf borderId="8" fillId="0" fontId="1" numFmtId="49" xfId="0" applyAlignment="1" applyBorder="1" applyFont="1" applyNumberFormat="1">
      <alignment horizontal="center" vertical="center"/>
    </xf>
    <xf borderId="0" fillId="0" fontId="12" numFmtId="49" xfId="0" applyAlignment="1" applyFont="1" applyNumberFormat="1">
      <alignment horizontal="center" vertical="center"/>
    </xf>
    <xf borderId="8" fillId="0" fontId="12" numFmtId="49" xfId="0" applyAlignment="1" applyBorder="1" applyFont="1" applyNumberFormat="1">
      <alignment horizontal="center" vertical="center"/>
    </xf>
    <xf borderId="5" fillId="0" fontId="1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b/>
        <color rgb="FFC53929"/>
      </font>
      <fill>
        <patternFill patternType="solid">
          <fgColor rgb="FFFFFF00"/>
          <bgColor rgb="FFFFFF00"/>
        </patternFill>
      </fill>
      <border/>
    </dxf>
    <dxf>
      <font>
        <b/>
        <color rgb="FF98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hwdanggg" id="{67392f62-abf7-4399-b936-bf9994132f50}" providerId="google-sheets"/>
  <x18tc:person displayName="Duy Anh Nguyễn" id="{186fb33b-6b1e-45a4-ae54-9582e6be426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7T19:13:39.00" personId="{67392f62-abf7-4399-b936-bf9994132f50}" id="{380927a5-15f2-44ee-bebb-df44e8680559}" done="1">
    <x18tc:text xml:space="preserve">hôm này e chỉ làm đc đến 15h thôi nhé</x18tc:text>
  </x18tc:threadedComment>
  <x18tc:threadedComment ref="A1" dT="2026-03-02T00:41:38.00" personId="{67392f62-abf7-4399-b936-bf9994132f50}" id="{3371b936-e34a-4175-8e65-b6b47f0fdc1a}" done="1">
    <x18tc:text xml:space="preserve">off</x18tc:text>
  </x18tc:threadedComment>
  <x18tc:threadedComment ref="A1" dT="2026-03-02T00:41:30.00" personId="{67392f62-abf7-4399-b936-bf9994132f50}" id="{7fd1dd4b-351f-4a6d-b332-68b4116abc5d}" done="1">
    <x18tc:text xml:space="preserve">off</x18tc:text>
  </x18tc:threadedComment>
  <x18tc:threadedComment ref="A1" dT="2025-10-29T09:30:35.00" personId="{67392f62-abf7-4399-b936-bf9994132f50}" id="{a0d9f514-e0c8-4e97-87ea-4a6d86dd7b57}" done="1">
    <x18tc:text xml:space="preserve">? cắt</x18tc:text>
  </x18tc:threadedComment>
  <x18tc:threadedComment ref="A1" dT="2025-10-29T14:39:13.00" personId="{186fb33b-6b1e-45a4-ae54-9582e6be4268}" id="{c1dd7bdd-51db-410e-a6f9-b054b89ccc6b}" parentId="{a0d9f514-e0c8-4e97-87ea-4a6d86dd7b57}">
    <x18tc:text xml:space="preserve">vắng quá phải cắt thôi</x18tc:text>
  </x18tc:threadedComment>
  <x18tc:threadedComment ref="A1" dT="2026-03-02T00:41:33.00" personId="{67392f62-abf7-4399-b936-bf9994132f50}" id="{a31854bf-157f-4e84-8f34-7bceb9185bb9}" done="1">
    <x18tc:text xml:space="preserve">off</x18tc:text>
  </x18tc:threadedComment>
  <x18tc:threadedComment ref="A1" dT="2026-04-08T17:09:44.00" personId="{67392f62-abf7-4399-b936-bf9994132f50}" id="{58d69bfc-af57-45cc-8c33-9a87d2363960}" done="1">
    <x18tc:text xml:space="preserve">e ổn e mở ca 1 mình cũm được</x18tc:text>
  </x18tc:threadedComment>
  <x18tc:threadedComment ref="A1" dT="2026-03-02T00:41:31.00" personId="{67392f62-abf7-4399-b936-bf9994132f50}" id="{85a0673f-70f3-4870-b835-b1355736bed1}" done="1">
    <x18tc:text xml:space="preserve">off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2.63" defaultRowHeight="15.75"/>
  <cols>
    <col customWidth="1" min="1" max="1" width="40.13"/>
    <col customWidth="1" min="2" max="3" width="20.75"/>
    <col customWidth="1" min="4" max="10" width="19.88"/>
  </cols>
  <sheetData>
    <row r="1" ht="28.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6"/>
      <c r="K1" s="7"/>
      <c r="L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8.5" customHeight="1">
      <c r="A2" s="9" t="s">
        <v>2</v>
      </c>
      <c r="B2" s="10"/>
      <c r="C2" s="11"/>
      <c r="J2" s="12"/>
      <c r="K2" s="7"/>
      <c r="L2" s="7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8.5" customHeight="1">
      <c r="A3" s="13" t="s">
        <v>3</v>
      </c>
      <c r="B3" s="10"/>
      <c r="C3" s="11"/>
      <c r="J3" s="12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8.5" customHeight="1">
      <c r="A4" s="14" t="s">
        <v>4</v>
      </c>
      <c r="B4" s="10"/>
      <c r="C4" s="11"/>
      <c r="J4" s="12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8.5" customHeight="1">
      <c r="A5" s="14" t="s">
        <v>5</v>
      </c>
      <c r="B5" s="15"/>
      <c r="C5" s="16"/>
      <c r="D5" s="17"/>
      <c r="E5" s="17"/>
      <c r="F5" s="17"/>
      <c r="G5" s="17"/>
      <c r="H5" s="17"/>
      <c r="I5" s="17"/>
      <c r="J5" s="18"/>
      <c r="K5" s="7"/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.5" customHeight="1">
      <c r="A6" s="14" t="s">
        <v>6</v>
      </c>
      <c r="B6" s="19" t="s">
        <v>7</v>
      </c>
      <c r="C6" s="19" t="s">
        <v>8</v>
      </c>
      <c r="D6" s="20" t="s">
        <v>9</v>
      </c>
      <c r="E6" s="20" t="s">
        <v>10</v>
      </c>
      <c r="F6" s="20" t="s">
        <v>11</v>
      </c>
      <c r="G6" s="20" t="s">
        <v>12</v>
      </c>
      <c r="H6" s="20" t="s">
        <v>13</v>
      </c>
      <c r="I6" s="20" t="s">
        <v>14</v>
      </c>
      <c r="J6" s="20" t="s">
        <v>15</v>
      </c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8.5" customHeight="1">
      <c r="A7" s="21" t="s">
        <v>16</v>
      </c>
      <c r="B7" s="22"/>
      <c r="C7" s="22"/>
      <c r="D7" s="23">
        <v>46209.0</v>
      </c>
      <c r="E7" s="23">
        <v>46210.0</v>
      </c>
      <c r="F7" s="23">
        <v>46211.0</v>
      </c>
      <c r="G7" s="23">
        <v>46212.0</v>
      </c>
      <c r="H7" s="23">
        <v>46213.0</v>
      </c>
      <c r="I7" s="23">
        <v>46214.0</v>
      </c>
      <c r="J7" s="23">
        <v>46215.0</v>
      </c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6.0" customHeight="1">
      <c r="A8" s="24" t="s">
        <v>17</v>
      </c>
      <c r="B8" s="25" t="s">
        <v>18</v>
      </c>
      <c r="C8" s="26" t="s">
        <v>19</v>
      </c>
      <c r="D8" s="27" t="s">
        <v>20</v>
      </c>
      <c r="E8" s="28" t="s">
        <v>21</v>
      </c>
      <c r="F8" s="28" t="s">
        <v>21</v>
      </c>
      <c r="G8" s="28" t="s">
        <v>22</v>
      </c>
      <c r="H8" s="28"/>
      <c r="I8" s="28"/>
      <c r="J8" s="28"/>
      <c r="K8" s="7"/>
      <c r="L8" s="29" t="s">
        <v>23</v>
      </c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3.75" customHeight="1">
      <c r="A9" s="30" t="s">
        <v>24</v>
      </c>
      <c r="B9" s="31" t="s">
        <v>25</v>
      </c>
      <c r="C9" s="26" t="s">
        <v>19</v>
      </c>
      <c r="D9" s="32" t="s">
        <v>22</v>
      </c>
      <c r="E9" s="32" t="s">
        <v>22</v>
      </c>
      <c r="F9" s="32" t="s">
        <v>22</v>
      </c>
      <c r="G9" s="32" t="s">
        <v>20</v>
      </c>
      <c r="H9" s="32"/>
      <c r="I9" s="32"/>
      <c r="J9" s="32"/>
      <c r="K9" s="7"/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3.75" customHeight="1">
      <c r="A10" s="33" t="s">
        <v>26</v>
      </c>
      <c r="B10" s="34" t="s">
        <v>27</v>
      </c>
      <c r="C10" s="26"/>
      <c r="D10" s="28" t="s">
        <v>22</v>
      </c>
      <c r="E10" s="28" t="s">
        <v>16</v>
      </c>
      <c r="F10" s="28" t="s">
        <v>22</v>
      </c>
      <c r="G10" s="28"/>
      <c r="H10" s="32"/>
      <c r="I10" s="32"/>
      <c r="J10" s="32"/>
      <c r="K10" s="7"/>
      <c r="L10" s="7"/>
      <c r="M10" s="7"/>
      <c r="N10" s="8"/>
      <c r="O10" s="35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7.5" customHeight="1">
      <c r="A11" s="33" t="s">
        <v>28</v>
      </c>
      <c r="B11" s="34" t="s">
        <v>27</v>
      </c>
      <c r="C11" s="36" t="s">
        <v>19</v>
      </c>
      <c r="D11" s="32" t="s">
        <v>29</v>
      </c>
      <c r="E11" s="32" t="s">
        <v>30</v>
      </c>
      <c r="F11" s="32" t="s">
        <v>29</v>
      </c>
      <c r="G11" s="32" t="s">
        <v>16</v>
      </c>
      <c r="H11" s="32" t="s">
        <v>29</v>
      </c>
      <c r="I11" s="32" t="s">
        <v>29</v>
      </c>
      <c r="J11" s="32" t="s">
        <v>29</v>
      </c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3.75" customHeight="1">
      <c r="A12" s="33" t="s">
        <v>31</v>
      </c>
      <c r="B12" s="34" t="s">
        <v>27</v>
      </c>
      <c r="C12" s="36" t="s">
        <v>19</v>
      </c>
      <c r="D12" s="28" t="s">
        <v>32</v>
      </c>
      <c r="E12" s="28" t="s">
        <v>20</v>
      </c>
      <c r="F12" s="32" t="s">
        <v>20</v>
      </c>
      <c r="G12" s="32" t="s">
        <v>16</v>
      </c>
      <c r="H12" s="32" t="s">
        <v>22</v>
      </c>
      <c r="I12" s="28" t="s">
        <v>20</v>
      </c>
      <c r="J12" s="28" t="s">
        <v>20</v>
      </c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3.75" customHeight="1">
      <c r="A13" s="37" t="s">
        <v>33</v>
      </c>
      <c r="B13" s="34" t="s">
        <v>27</v>
      </c>
      <c r="C13" s="38"/>
      <c r="D13" s="27" t="s">
        <v>34</v>
      </c>
      <c r="E13" s="32" t="s">
        <v>22</v>
      </c>
      <c r="F13" s="27" t="s">
        <v>16</v>
      </c>
      <c r="G13" s="27" t="s">
        <v>34</v>
      </c>
      <c r="H13" s="32" t="s">
        <v>35</v>
      </c>
      <c r="I13" s="32"/>
      <c r="J13" s="32" t="s">
        <v>36</v>
      </c>
      <c r="K13" s="7"/>
      <c r="L13" s="7"/>
      <c r="M13" s="7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3.75" customHeight="1">
      <c r="A14" s="39" t="s">
        <v>37</v>
      </c>
      <c r="B14" s="34" t="s">
        <v>27</v>
      </c>
      <c r="C14" s="38"/>
      <c r="D14" s="28" t="s">
        <v>22</v>
      </c>
      <c r="E14" s="28" t="s">
        <v>38</v>
      </c>
      <c r="F14" s="28" t="s">
        <v>39</v>
      </c>
      <c r="G14" s="28" t="s">
        <v>16</v>
      </c>
      <c r="H14" s="28" t="s">
        <v>22</v>
      </c>
      <c r="I14" s="28" t="s">
        <v>22</v>
      </c>
      <c r="J14" s="28" t="s">
        <v>22</v>
      </c>
      <c r="K14" s="7"/>
      <c r="L14" s="7"/>
      <c r="M14" s="7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3.75" customHeight="1">
      <c r="A15" s="39" t="s">
        <v>40</v>
      </c>
      <c r="B15" s="34" t="s">
        <v>27</v>
      </c>
      <c r="C15" s="38"/>
      <c r="D15" s="28" t="s">
        <v>16</v>
      </c>
      <c r="E15" s="32" t="s">
        <v>22</v>
      </c>
      <c r="F15" s="32" t="s">
        <v>38</v>
      </c>
      <c r="G15" s="32" t="s">
        <v>22</v>
      </c>
      <c r="H15" s="32" t="s">
        <v>22</v>
      </c>
      <c r="I15" s="28" t="s">
        <v>22</v>
      </c>
      <c r="J15" s="32" t="s">
        <v>22</v>
      </c>
      <c r="K15" s="7"/>
      <c r="L15" s="7"/>
      <c r="M15" s="7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3.75" customHeight="1">
      <c r="A16" s="24" t="s">
        <v>41</v>
      </c>
      <c r="B16" s="34" t="s">
        <v>27</v>
      </c>
      <c r="C16" s="26" t="s">
        <v>19</v>
      </c>
      <c r="D16" s="32" t="s">
        <v>30</v>
      </c>
      <c r="E16" s="32" t="s">
        <v>29</v>
      </c>
      <c r="F16" s="32" t="s">
        <v>20</v>
      </c>
      <c r="G16" s="32" t="s">
        <v>29</v>
      </c>
      <c r="H16" s="32" t="s">
        <v>16</v>
      </c>
      <c r="I16" s="32" t="s">
        <v>16</v>
      </c>
      <c r="J16" s="32" t="s">
        <v>16</v>
      </c>
      <c r="K16" s="7"/>
      <c r="L16" s="7"/>
      <c r="M16" s="7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35"/>
    </row>
    <row r="17" ht="33.75" customHeight="1">
      <c r="A17" s="37" t="s">
        <v>42</v>
      </c>
      <c r="B17" s="40" t="s">
        <v>43</v>
      </c>
      <c r="C17" s="26"/>
      <c r="D17" s="32" t="s">
        <v>16</v>
      </c>
      <c r="E17" s="32" t="s">
        <v>38</v>
      </c>
      <c r="F17" s="32" t="s">
        <v>16</v>
      </c>
      <c r="G17" s="32" t="s">
        <v>22</v>
      </c>
      <c r="H17" s="32" t="s">
        <v>22</v>
      </c>
      <c r="I17" s="32" t="s">
        <v>16</v>
      </c>
      <c r="J17" s="32" t="s">
        <v>16</v>
      </c>
      <c r="K17" s="7"/>
      <c r="L17" s="7"/>
      <c r="M17" s="7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35" t="s">
        <v>44</v>
      </c>
    </row>
    <row r="18" ht="33.75" customHeight="1">
      <c r="A18" s="33" t="s">
        <v>45</v>
      </c>
      <c r="B18" s="40" t="s">
        <v>43</v>
      </c>
      <c r="C18" s="41"/>
      <c r="D18" s="32" t="s">
        <v>20</v>
      </c>
      <c r="E18" s="32" t="s">
        <v>32</v>
      </c>
      <c r="F18" s="32" t="s">
        <v>16</v>
      </c>
      <c r="G18" s="32" t="s">
        <v>20</v>
      </c>
      <c r="H18" s="32" t="s">
        <v>20</v>
      </c>
      <c r="I18" s="32" t="s">
        <v>29</v>
      </c>
      <c r="J18" s="28" t="s">
        <v>16</v>
      </c>
      <c r="K18" s="7"/>
      <c r="L18" s="7"/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3.75" customHeight="1">
      <c r="A19" s="33" t="s">
        <v>46</v>
      </c>
      <c r="B19" s="42" t="s">
        <v>43</v>
      </c>
      <c r="C19" s="36"/>
      <c r="D19" s="28" t="s">
        <v>16</v>
      </c>
      <c r="E19" s="28" t="s">
        <v>20</v>
      </c>
      <c r="F19" s="28" t="s">
        <v>16</v>
      </c>
      <c r="G19" s="32" t="s">
        <v>20</v>
      </c>
      <c r="H19" s="32" t="s">
        <v>20</v>
      </c>
      <c r="I19" s="28" t="s">
        <v>20</v>
      </c>
      <c r="J19" s="28" t="s">
        <v>20</v>
      </c>
      <c r="K19" s="7"/>
      <c r="L19" s="7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3.75" customHeight="1">
      <c r="A20" s="33" t="s">
        <v>47</v>
      </c>
      <c r="B20" s="42" t="s">
        <v>48</v>
      </c>
      <c r="C20" s="43" t="s">
        <v>19</v>
      </c>
      <c r="D20" s="32" t="s">
        <v>16</v>
      </c>
      <c r="E20" s="32" t="s">
        <v>16</v>
      </c>
      <c r="F20" s="32" t="s">
        <v>38</v>
      </c>
      <c r="H20" s="32"/>
      <c r="I20" s="28"/>
      <c r="J20" s="28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3.75" customHeight="1">
      <c r="A21" s="33" t="s">
        <v>49</v>
      </c>
      <c r="B21" s="40" t="s">
        <v>48</v>
      </c>
      <c r="C21" s="41"/>
      <c r="D21" s="27" t="s">
        <v>39</v>
      </c>
      <c r="E21" s="27" t="s">
        <v>39</v>
      </c>
      <c r="F21" s="27" t="s">
        <v>22</v>
      </c>
      <c r="G21" s="27" t="s">
        <v>16</v>
      </c>
      <c r="H21" s="32" t="s">
        <v>22</v>
      </c>
      <c r="I21" s="27" t="s">
        <v>22</v>
      </c>
      <c r="J21" s="28" t="s">
        <v>22</v>
      </c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3.75" customHeight="1">
      <c r="A22" s="33" t="s">
        <v>50</v>
      </c>
      <c r="B22" s="40" t="s">
        <v>48</v>
      </c>
      <c r="C22" s="41"/>
      <c r="D22" s="32" t="s">
        <v>38</v>
      </c>
      <c r="E22" s="32" t="s">
        <v>16</v>
      </c>
      <c r="F22" s="32" t="s">
        <v>32</v>
      </c>
      <c r="G22" s="32" t="s">
        <v>38</v>
      </c>
      <c r="H22" s="32" t="s">
        <v>35</v>
      </c>
      <c r="I22" s="32" t="s">
        <v>22</v>
      </c>
      <c r="J22" s="28" t="s">
        <v>22</v>
      </c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3.75" customHeight="1">
      <c r="A23" s="33" t="s">
        <v>51</v>
      </c>
      <c r="B23" s="40" t="s">
        <v>48</v>
      </c>
      <c r="C23" s="44"/>
      <c r="D23" s="32" t="s">
        <v>16</v>
      </c>
      <c r="E23" s="32" t="s">
        <v>16</v>
      </c>
      <c r="F23" s="32" t="s">
        <v>16</v>
      </c>
      <c r="G23" s="32" t="s">
        <v>39</v>
      </c>
      <c r="H23" s="32" t="s">
        <v>39</v>
      </c>
      <c r="I23" s="32" t="s">
        <v>16</v>
      </c>
      <c r="J23" s="32" t="s">
        <v>16</v>
      </c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3.75" customHeight="1">
      <c r="A24" s="33" t="s">
        <v>52</v>
      </c>
      <c r="B24" s="40" t="s">
        <v>48</v>
      </c>
      <c r="C24" s="36"/>
      <c r="D24" s="32" t="s">
        <v>16</v>
      </c>
      <c r="E24" s="32" t="s">
        <v>16</v>
      </c>
      <c r="F24" s="32" t="s">
        <v>30</v>
      </c>
      <c r="G24" s="32" t="s">
        <v>29</v>
      </c>
      <c r="H24" s="32" t="s">
        <v>16</v>
      </c>
      <c r="I24" s="32" t="s">
        <v>29</v>
      </c>
      <c r="J24" s="32" t="s">
        <v>16</v>
      </c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3.75" customHeight="1">
      <c r="A25" s="33" t="s">
        <v>53</v>
      </c>
      <c r="B25" s="40" t="s">
        <v>48</v>
      </c>
      <c r="C25" s="44"/>
      <c r="D25" s="32" t="s">
        <v>16</v>
      </c>
      <c r="E25" s="32" t="s">
        <v>39</v>
      </c>
      <c r="F25" s="32" t="s">
        <v>39</v>
      </c>
      <c r="G25" s="32" t="s">
        <v>39</v>
      </c>
      <c r="H25" s="32" t="s">
        <v>16</v>
      </c>
      <c r="I25" s="28" t="s">
        <v>39</v>
      </c>
      <c r="J25" s="32" t="s">
        <v>16</v>
      </c>
      <c r="K25" s="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3.75" customHeight="1">
      <c r="A26" s="33" t="s">
        <v>54</v>
      </c>
      <c r="B26" s="40" t="s">
        <v>48</v>
      </c>
      <c r="C26" s="44"/>
      <c r="D26" s="32" t="s">
        <v>39</v>
      </c>
      <c r="E26" s="32" t="s">
        <v>16</v>
      </c>
      <c r="F26" s="32" t="s">
        <v>16</v>
      </c>
      <c r="G26" s="32" t="s">
        <v>16</v>
      </c>
      <c r="H26" s="32" t="s">
        <v>22</v>
      </c>
      <c r="I26" s="32" t="s">
        <v>22</v>
      </c>
      <c r="J26" s="32" t="s">
        <v>22</v>
      </c>
      <c r="K26" s="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3.75" customHeight="1">
      <c r="A27" s="24"/>
      <c r="B27" s="40" t="s">
        <v>48</v>
      </c>
      <c r="C27" s="26"/>
      <c r="D27" s="32"/>
      <c r="E27" s="32"/>
      <c r="F27" s="32"/>
      <c r="G27" s="32"/>
      <c r="H27" s="32"/>
      <c r="I27" s="32"/>
      <c r="J27" s="32"/>
      <c r="K27" s="7"/>
      <c r="L27" s="7"/>
      <c r="M27" s="7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35"/>
    </row>
    <row r="28" ht="28.5" customHeight="1">
      <c r="A28" s="33"/>
      <c r="B28" s="40" t="s">
        <v>48</v>
      </c>
      <c r="C28" s="44"/>
      <c r="D28" s="32"/>
      <c r="E28" s="32"/>
      <c r="F28" s="32"/>
      <c r="G28" s="32"/>
      <c r="H28" s="32"/>
      <c r="I28" s="32"/>
      <c r="J28" s="32"/>
      <c r="K28" s="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8.5" customHeight="1">
      <c r="A29" s="45"/>
      <c r="B29" s="46"/>
      <c r="C29" s="46"/>
      <c r="D29" s="47"/>
      <c r="E29" s="47"/>
      <c r="F29" s="47"/>
      <c r="G29" s="47"/>
      <c r="H29" s="48"/>
      <c r="I29" s="47"/>
      <c r="J29" s="47"/>
      <c r="K29" s="7"/>
      <c r="L29" s="8"/>
      <c r="M29" s="8"/>
      <c r="N29" s="35" t="s">
        <v>44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8.5" customHeight="1">
      <c r="A30" s="49"/>
      <c r="B30" s="46"/>
      <c r="C30" s="46"/>
      <c r="D30" s="47"/>
      <c r="E30" s="50"/>
      <c r="F30" s="51"/>
      <c r="G30" s="50"/>
      <c r="H30" s="50"/>
      <c r="I30" s="50"/>
      <c r="J30" s="50"/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8.5" customHeight="1">
      <c r="A31" s="52"/>
      <c r="B31" s="53"/>
      <c r="C31" s="54"/>
      <c r="D31" s="50"/>
      <c r="E31" s="50"/>
      <c r="F31" s="50"/>
      <c r="G31" s="50"/>
      <c r="H31" s="50"/>
      <c r="I31" s="50"/>
      <c r="J31" s="50"/>
      <c r="K31" s="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8.5" customHeight="1">
      <c r="A32" s="55"/>
      <c r="B32" s="56" t="s">
        <v>55</v>
      </c>
      <c r="C32" s="57" t="s">
        <v>56</v>
      </c>
      <c r="D32" s="58">
        <f t="shared" ref="D32:J32" si="1">COUNTIF(D$8:D$31,"06-07")+COUNTIF(D$8:D$31,"06-08")+COUNTIF(D$8:D$31,"06-09")+COUNTIF(D$8:D$31,"06-10")+COUNTIF(D$8:D$31,"06-11")+COUNTIF(D$8:D$31,"06-12")+COUNTIF(D$8:D$31,"06-13")+COUNTIF(D$8:D$31,"06-14")+COUNTIF(D$8:D$31,"06-15")+COUNTIF(D$8:D$31,"06-16")+COUNTIF(D$8:D$31,"06-17")+COUNTIF(D$8:D$31,"06-18")+COUNTIF(D$8:D$31,"06-19")+COUNTIF(D$8:D$31,"06-20")+COUNTIF(D$8:D$31,"06-21")+COUNTIF(D$8:D$31,"06-22")+COUNTIF(D$8:D$31,"06-23")</f>
        <v>2</v>
      </c>
      <c r="E32" s="58">
        <f t="shared" si="1"/>
        <v>2</v>
      </c>
      <c r="F32" s="58">
        <f t="shared" si="1"/>
        <v>2</v>
      </c>
      <c r="G32" s="58">
        <f t="shared" si="1"/>
        <v>0</v>
      </c>
      <c r="H32" s="58">
        <f t="shared" si="1"/>
        <v>0</v>
      </c>
      <c r="I32" s="58">
        <f t="shared" si="1"/>
        <v>0</v>
      </c>
      <c r="J32" s="58">
        <f t="shared" si="1"/>
        <v>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8.5" customHeight="1">
      <c r="A33" s="55"/>
      <c r="B33" s="59" t="s">
        <v>56</v>
      </c>
      <c r="C33" s="60" t="s">
        <v>57</v>
      </c>
      <c r="D33" s="61">
        <f t="shared" ref="D33:J33" si="2">COUNTIF(D$8:D$31,"06-08")+COUNTIF(D$8:D$31,"06-09")+COUNTIF(D$8:D$31,"06-10")+COUNTIF(D$8:D$31,"06-11")+COUNTIF(D$8:D$31,"06-12")+COUNTIF(D$8:D$31,"06-13")+COUNTIF(D$8:D$31,"06-14")+COUNTIF(D$8:D$31,"06-15")+COUNTIF(D$8:D$31,"06-16")+COUNTIF(D$8:D$31,"06-17")+COUNTIF(D$8:D$31,"06-18")+COUNTIF(D$8:D$31,"06-19")+COUNTIF(D$8:D$31,"06-20")+COUNTIF(D$8:D$31,"06-21")+COUNTIF(D$8:D$31,"06-22")+COUNTIF(D$8:D$31,"06-23")+
COUNTIF(D$8:D$31,"07-08")+COUNTIF(D$8:D$31,"07-09")+COUNTIF(D$8:D$31,"07-10")+COUNTIF(D$8:D$31,"07-11")+COUNTIF(D$8:D$31,"07-12")+COUNTIF(D$8:D$31,"07-13")+COUNTIF(D$8:D$31,"07-14")+COUNTIF(D$8:D$31,"07-15")+COUNTIF(D$8:D$31,"07-16")+COUNTIF(D$8:D$31,"07-17")+COUNTIF(D$8:D$31,"07-18")+COUNTIF(D$8:D$31,"07-19")+COUNTIF(D$8:D$31,"07-20")+COUNTIF(D$8:D$31,"07-21")+COUNTIF(D$8:D$31,"07-22")+COUNTIF(D$8:D$31,"07-23")</f>
        <v>5</v>
      </c>
      <c r="E33" s="61">
        <f t="shared" si="2"/>
        <v>5</v>
      </c>
      <c r="F33" s="61">
        <f t="shared" si="2"/>
        <v>5</v>
      </c>
      <c r="G33" s="61">
        <f t="shared" si="2"/>
        <v>5</v>
      </c>
      <c r="H33" s="61">
        <f t="shared" si="2"/>
        <v>5</v>
      </c>
      <c r="I33" s="61">
        <f t="shared" si="2"/>
        <v>5</v>
      </c>
      <c r="J33" s="61">
        <f t="shared" si="2"/>
        <v>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8.5" customHeight="1">
      <c r="A34" s="55"/>
      <c r="B34" s="59" t="s">
        <v>57</v>
      </c>
      <c r="C34" s="60" t="s">
        <v>58</v>
      </c>
      <c r="D34" s="61">
        <f t="shared" ref="D34:J34" si="3">COUNTIF(D$8:D$31,"06-09")+COUNTIF(D$8:D$31,"06-10")+COUNTIF(D$8:D$31,"06-11")+COUNTIF(D$8:D$31,"06-12")+COUNTIF(D$8:D$31,"06-13")+COUNTIF(D$8:D$31,"06-14")+COUNTIF(D$8:D$31,"06-15")+COUNTIF(D$8:D$31,"06-16")+COUNTIF(D$8:D$31,"06-17")+COUNTIF(D$8:D$31,"06-18")+COUNTIF(D$8:D$31,"06-19")+COUNTIF(D$8:D$31,"06-20")+COUNTIF(D$8:D$31,"06-21")+COUNTIF(D$8:D$31,"06-22")+COUNTIF(D$8:D$31,"06-23")+COUNTIF(D$8:D$31,"07-09")+COUNTIF(D$8:D$31,"07-10")+COUNTIF(D$8:D$31,"07-11")+COUNTIF(D$8:D$31,"07-12")+COUNTIF(D$8:D$31,"07-13")+COUNTIF(D$8:D$31,"07-14")+COUNTIF(D$8:D$31,"07-15")+COUNTIF(D$8:D$31,"07-16")+COUNTIF(D$8:D$31,"07-17")+COUNTIF(D$8:D$31,"07-18")+COUNTIF(D$8:D$31,"07-19")+COUNTIF(D$8:D$31,"07-20")+COUNTIF(D$8:D$31,"07-21")+COUNTIF(D$8:D$31,"07-22")+COUNTIF(D$8:D$31,"07-23")+COUNTIF(D$8:D$31,"08-09")+COUNTIF(D$8:D$31,"08-10")+COUNTIF(D$8:D$31,"08-11")+COUNTIF(D$8:D$31,"08-12")+COUNTIF(D$8:D$31,"08-13")+COUNTIF(D$8:D$31,"08-14")+COUNTIF(D$8:D$31,"08-15")+COUNTIF(D$8:D$31,"08-16")+COUNTIF(D$8:D$31,"08-17")+COUNTIF(D$8:D$31,"08-18")+COUNTIF(D$8:D$31,"08-19")+COUNTIF(D$8:D$31,"08-20")+COUNTIF(D$8:D$31,"08-21")+COUNTIF(D$8:D$31,"08-22")+COUNTIF(D$8:D$31,"08-23")</f>
        <v>5</v>
      </c>
      <c r="E34" s="61">
        <f t="shared" si="3"/>
        <v>5</v>
      </c>
      <c r="F34" s="61">
        <f t="shared" si="3"/>
        <v>5</v>
      </c>
      <c r="G34" s="61">
        <f t="shared" si="3"/>
        <v>5</v>
      </c>
      <c r="H34" s="61">
        <f t="shared" si="3"/>
        <v>5</v>
      </c>
      <c r="I34" s="61">
        <f t="shared" si="3"/>
        <v>5</v>
      </c>
      <c r="J34" s="61">
        <f t="shared" si="3"/>
        <v>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8.5" customHeight="1">
      <c r="A35" s="55"/>
      <c r="B35" s="59" t="s">
        <v>58</v>
      </c>
      <c r="C35" s="60" t="s">
        <v>59</v>
      </c>
      <c r="D35" s="58">
        <f t="shared" ref="D35:J35" si="4">COUNTIF(D$8:D$31,"06-10")+COUNTIF(D$8:D$31,"06-11")+COUNTIF(D$8:D$31,"06-12")+COUNTIF(D$8:D$31,"06-13")+COUNTIF(D$8:D$31,"06-14")+COUNTIF(D$8:D$31,"06-15")+COUNTIF(D$8:D$31,"06-16")+COUNTIF(D$8:D$31,"06-17")+COUNTIF(D$8:D$31,"06-18")+COUNTIF(D$8:D$31,"06-19")+COUNTIF(D$8:D$31,"06-20")+COUNTIF(D$8:D$31,"06-21")+COUNTIF(D$8:D$31,"06-22")+COUNTIF(D$8:D$31,"06-23")+COUNTIF(D$8:D$31,"07-10")+COUNTIF(D$8:D$31,"07-11")+COUNTIF(D$8:D$31,"07-12")+COUNTIF(D$8:D$31,"07-13")+COUNTIF(D$8:D$31,"07-14")+COUNTIF(D$8:D$31,"07-15")+COUNTIF(D$8:D$31,"07-16")+COUNTIF(D$8:D$31,"07-17")+COUNTIF(D$8:D$31,"07-18")+COUNTIF(D$8:D$31,"07-19")+COUNTIF(D$8:D$31,"07-20")+COUNTIF(D$8:D$31,"07-21")+COUNTIF(D$8:D$31,"07-22")+COUNTIF(D$8:D$31,"07-23")+COUNTIF(D$8:D$31,"08-10")+COUNTIF(D$8:D$31,"08-11")+COUNTIF(D$8:D$31,"08-12")+COUNTIF(D$8:D$31,"08-13")+COUNTIF(D$8:D$31,"08-14")+COUNTIF(D$8:D$31,"08-15")+COUNTIF(D$8:D$31,"08-16")+COUNTIF(D$8:D$31,"08-17")+COUNTIF(D$8:D$31,"08-18")+COUNTIF(D$8:D$31,"08-19")+COUNTIF(D$8:D$31,"08-20")+COUNTIF(D$8:D$31,"08-21")+COUNTIF(D$8:D$31,"08-22")+COUNTIF(D$8:D$31,"08-23")+COUNTIF(D$8:D$31,"09-10")+COUNTIF(D$8:D$31,"09-11")+COUNTIF(D$8:D$31,"09-12")+COUNTIF(D$8:D$31,"09-13")+COUNTIF(D$8:D$31,"09-14")+COUNTIF(D$8:D$31,"09-15")+COUNTIF(D$8:D$31,"09-16")+COUNTIF(D$8:D$31,"09-17")+COUNTIF(D$8:D$31,"09-18")+COUNTIF(D$8:D$31,"09-19")+COUNTIF(D$8:D$31,"09-20")+COUNTIF(D$8:D$31,"09-21")+COUNTIF(D$8:D$31,"09-22")+COUNTIF(D$8:D$31,"09-23")</f>
        <v>5</v>
      </c>
      <c r="E35" s="58">
        <f t="shared" si="4"/>
        <v>5</v>
      </c>
      <c r="F35" s="58">
        <f t="shared" si="4"/>
        <v>5</v>
      </c>
      <c r="G35" s="58">
        <f t="shared" si="4"/>
        <v>5</v>
      </c>
      <c r="H35" s="58">
        <f t="shared" si="4"/>
        <v>5</v>
      </c>
      <c r="I35" s="58">
        <f t="shared" si="4"/>
        <v>5</v>
      </c>
      <c r="J35" s="58">
        <f t="shared" si="4"/>
        <v>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8.5" customHeight="1">
      <c r="A36" s="55"/>
      <c r="B36" s="59" t="s">
        <v>59</v>
      </c>
      <c r="C36" s="60" t="s">
        <v>60</v>
      </c>
      <c r="D36" s="58">
        <f t="shared" ref="D36:J36" si="5">COUNTIF(D$8:D$31,"06-11")+COUNTIF(D$8:D$31,"06-12")+COUNTIF(D$8:D$31,"06-13")+COUNTIF(D$8:D$31,"06-14")+COUNTIF(D$8:D$31,"06-15")+COUNTIF(D$8:D$31,"06-16")+COUNTIF(D$8:D$31,"06-17")+COUNTIF(D$8:D$31,"06-18")+COUNTIF(D$8:D$31,"06-19")+COUNTIF(D$8:D$31,"06-20")+COUNTIF(D$8:D$31,"06-21")+COUNTIF(D$8:D$31,"06-22")+COUNTIF(D$8:D$31,"06-23")+COUNTIF(D$8:D$31,"07-11")+COUNTIF(D$8:D$31,"07-12")+COUNTIF(D$8:D$31,"07-13")+COUNTIF(D$8:D$31,"07-14")+COUNTIF(D$8:D$31,"07-15")+COUNTIF(D$8:D$31,"07-16")+COUNTIF(D$8:D$31,"07-17")+COUNTIF(D$8:D$31,"07-18")+COUNTIF(D$8:D$31,"07-19")+COUNTIF(D$8:D$31,"07-20")+COUNTIF(D$8:D$31,"07-21")+COUNTIF(D$8:D$31,"07-22")+COUNTIF(D$8:D$31,"07-23")+COUNTIF(D$8:D$31,"08-11")+COUNTIF(D$8:D$31,"08-12")+COUNTIF(D$8:D$31,"08-13")+COUNTIF(D$8:D$31,"08-14")+COUNTIF(D$8:D$31,"08-15")+COUNTIF(D$8:D$31,"08-16")+COUNTIF(D$8:D$31,"08-17")+COUNTIF(D$8:D$31,"08-18")+COUNTIF(D$8:D$31,"08-19")+COUNTIF(D$8:D$31,"08-20")+COUNTIF(D$8:D$31,"08-21")+COUNTIF(D$8:D$31,"08-22")+COUNTIF(D$8:D$31,"08-23")+COUNTIF(D$8:D$31,"09-11")+COUNTIF(D$8:D$31,"09-12")+COUNTIF(D$8:D$31,"09-13")+COUNTIF(D$8:D$31,"09-14")+COUNTIF(D$8:D$31,"09-15")+COUNTIF(D$8:D$31,"09-16")+COUNTIF(D$8:D$31,"09-17")+COUNTIF(D$8:D$31,"09-18")+COUNTIF(D$8:D$31,"09-19")+COUNTIF(D$8:D$31,"09-20")+COUNTIF(D$8:D$31,"09-21")+COUNTIF(D$8:D$31,"09-22")+COUNTIF(D$8:D$31,"09-23")+COUNTIF(D$8:D$31,"10-11")+COUNTIF(D$8:D$31,"10-12")+COUNTIF(D$8:D$31,"10-13")+COUNTIF(D$8:D$31,"10-14")+COUNTIF(D$8:D$31,"10-15")+COUNTIF(D$8:D$31,"10-16")+COUNTIF(D$8:D$31,"10-17")+COUNTIF(D$8:D$31,"10-18")+COUNTIF(D$8:D$31,"10-19")+COUNTIF(D$8:D$31,"10-20")+COUNTIF(D$8:D$31,"10-21")+COUNTIF(D$8:D$31,"10-22")+COUNTIF(D$8:D$31,"10-23")</f>
        <v>6</v>
      </c>
      <c r="E36" s="58">
        <f t="shared" si="5"/>
        <v>5</v>
      </c>
      <c r="F36" s="58">
        <f t="shared" si="5"/>
        <v>5</v>
      </c>
      <c r="G36" s="58">
        <f t="shared" si="5"/>
        <v>6</v>
      </c>
      <c r="H36" s="58">
        <f t="shared" si="5"/>
        <v>5</v>
      </c>
      <c r="I36" s="58">
        <f t="shared" si="5"/>
        <v>5</v>
      </c>
      <c r="J36" s="58">
        <f t="shared" si="5"/>
        <v>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8.5" customHeight="1">
      <c r="A37" s="55"/>
      <c r="B37" s="59" t="s">
        <v>60</v>
      </c>
      <c r="C37" s="60" t="s">
        <v>61</v>
      </c>
      <c r="D37" s="58">
        <f t="shared" ref="D37:J37" si="6">COUNTIF(D$8:D$31,"06-12")+COUNTIF(D$8:D$31,"06-13")+COUNTIF(D$8:D$31,"06-14")+COUNTIF(D$8:D$31,"06-15")+COUNTIF(D$8:D$31,"06-16")+COUNTIF(D$8:D$31,"06-17")+COUNTIF(D$8:D$31,"06-18")+COUNTIF(D$8:D$31,"06-19")+COUNTIF(D$8:D$31,"06-20")+COUNTIF(D$8:D$31,"06-21")+COUNTIF(D$8:D$31,"06-22")+COUNTIF(D$8:D$31,"06-23")+COUNTIF(D$8:D$31,"07-12")+COUNTIF(D$8:D$31,"07-13")+COUNTIF(D$8:D$31,"07-14")+COUNTIF(D$8:D$31,"07-15")+COUNTIF(D$8:D$31,"07-16")+COUNTIF(D$8:D$31,"07-17")+COUNTIF(D$8:D$31,"07-18")+COUNTIF(D$8:D$31,"07-19")+COUNTIF(D$8:D$31,"07-20")+COUNTIF(D$8:D$31,"07-21")+COUNTIF(D$8:D$31,"07-22")+COUNTIF(D$8:D$31,"07-23")+COUNTIF(D$8:D$31,"08-12")+COUNTIF(D$8:D$31,"08-13")+COUNTIF(D$8:D$31,"08-14")+COUNTIF(D$8:D$31,"08-15")+COUNTIF(D$8:D$31,"08-16")+COUNTIF(D$8:D$31,"08-17")+COUNTIF(D$8:D$31,"08-18")+COUNTIF(D$8:D$31,"08-19")+COUNTIF(D$8:D$31,"08-20")+COUNTIF(D$8:D$31,"08-21")+COUNTIF(D$8:D$31,"08-22")+COUNTIF(D$8:D$31,"08-23")+COUNTIF(D$8:D$31,"09-12")+COUNTIF(D$8:D$31,"09-13")+COUNTIF(D$8:D$31,"09-14")+COUNTIF(D$8:D$31,"09-15")+COUNTIF(D$8:D$31,"09-16")+COUNTIF(D$8:D$31,"09-17")+COUNTIF(D$8:D$31,"09-18")+COUNTIF(D$8:D$31,"09-19")+COUNTIF(D$8:D$31,"09-20")+COUNTIF(D$8:D$31,"09-21")+COUNTIF(D$8:D$31,"09-22")+COUNTIF(D$8:D$31,"09-23")+COUNTIF(D$8:D$31,"10-12")+COUNTIF(D$8:D$31,"10-13")+COUNTIF(D$8:D$31,"10-14")+COUNTIF(D$8:D$31,"10-15")+COUNTIF(D$8:D$31,"10-16")+COUNTIF(D$8:D$31,"10-17")+COUNTIF(D$8:D$31,"10-18")+COUNTIF(D$8:D$31,"10-19")+COUNTIF(D$8:D$31,"10-20")+COUNTIF(D$8:D$31,"10-21")+COUNTIF(D$8:D$31,"10-22")+COUNTIF(D$8:D$31,"10-23")+COUNTIF(D$8:D$31,"11-12")+COUNTIF(D$8:D$31,"11-13")+COUNTIF(D$8:D$31,"11-14")+COUNTIF(D$8:D$31,"11-15")+COUNTIF(D$8:D$31,"11-16")+COUNTIF(D$8:D$31,"11-17")+COUNTIF(D$8:D$31,"11-18")+COUNTIF(D$8:D$31,"11-19")+COUNTIF(D$8:D$31,"11-20")+COUNTIF(D$8:D$31,"11-21")+COUNTIF(D$8:D$31,"11-22")+COUNTIF(D$8:D$31,"11-23")</f>
        <v>6</v>
      </c>
      <c r="E37" s="58">
        <f t="shared" si="6"/>
        <v>5</v>
      </c>
      <c r="F37" s="58">
        <f t="shared" si="6"/>
        <v>5</v>
      </c>
      <c r="G37" s="58">
        <f t="shared" si="6"/>
        <v>6</v>
      </c>
      <c r="H37" s="58">
        <f t="shared" si="6"/>
        <v>5</v>
      </c>
      <c r="I37" s="58">
        <f t="shared" si="6"/>
        <v>5</v>
      </c>
      <c r="J37" s="58">
        <f t="shared" si="6"/>
        <v>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8.5" customHeight="1">
      <c r="A38" s="55"/>
      <c r="B38" s="59" t="s">
        <v>61</v>
      </c>
      <c r="C38" s="60" t="s">
        <v>62</v>
      </c>
      <c r="D38" s="58">
        <f t="shared" ref="D38:J38" si="7">COUNTIF(D$8:D$31,"06-13")+COUNTIF(D$8:D$31,"06-14")+COUNTIF(D$8:D$31,"06-15")+COUNTIF(D$8:D$31,"06-16")+COUNTIF(D$8:D$31,"06-17")+COUNTIF(D$8:D$31,"06-18")+COUNTIF(D$8:D$31,"06-19")+COUNTIF(D$8:D$31,"06-20")+COUNTIF(D$8:D$31,"06-21")+COUNTIF(D$8:D$31,"06-22")+COUNTIF(D$8:D$31,"06-23")+COUNTIF(D$8:D$31,"07-13")+COUNTIF(D$8:D$31,"07-14")+COUNTIF(D$8:D$31,"07-15")+COUNTIF(D$8:D$31,"07-16")+COUNTIF(D$8:D$31,"07-17")+COUNTIF(D$8:D$31,"07-18")+COUNTIF(D$8:D$31,"07-19")+COUNTIF(D$8:D$31,"07-20")+COUNTIF(D$8:D$31,"07-21")+COUNTIF(D$8:D$31,"07-22")+COUNTIF(D$8:D$31,"07-23")+COUNTIF(D$8:D$31,"08-13")+COUNTIF(D$8:D$31,"08-14")+COUNTIF(D$8:D$31,"08-15")+COUNTIF(D$8:D$31,"08-16")+COUNTIF(D$8:D$31,"08-17")+COUNTIF(D$8:D$31,"08-18")+COUNTIF(D$8:D$31,"08-19")+COUNTIF(D$8:D$31,"08-20")+COUNTIF(D$8:D$31,"08-21")+COUNTIF(D$8:D$31,"08-22")+COUNTIF(D$8:D$31,"08-23")+COUNTIF(D$8:D$31,"09-13")+COUNTIF(D$8:D$31,"09-14")+COUNTIF(D$8:D$31,"09-15")+COUNTIF(D$8:D$31,"09-16")+COUNTIF(D$8:D$31,"09-17")+COUNTIF(D$8:D$31,"09-18")+COUNTIF(D$8:D$31,"09-19")+COUNTIF(D$8:D$31,"09-20")+COUNTIF(D$8:D$31,"09-21")+COUNTIF(D$8:D$31,"09-22")+COUNTIF(D$8:D$31,"09-23")+COUNTIF(D$8:D$31,"10-13")+COUNTIF(D$8:D$31,"10-14")+COUNTIF(D$8:D$31,"10-15")+COUNTIF(D$8:D$31,"10-16")+COUNTIF(D$8:D$31,"10-17")+COUNTIF(D$8:D$31,"10-18")+COUNTIF(D$8:D$31,"10-19")+COUNTIF(D$8:D$31,"10-20")+COUNTIF(D$8:D$31,"10-21")+COUNTIF(D$8:D$31,"10-22")+COUNTIF(D$8:D$31,"10-23")+COUNTIF(D$8:D$31,"11-13")+COUNTIF(D$8:D$31,"11-14")+COUNTIF(D$8:D$31,"11-15")+COUNTIF(D$8:D$31,"11-16")+COUNTIF(D$8:D$31,"11-17")+COUNTIF(D$8:D$31,"11-18")+COUNTIF(D$8:D$31,"11-19")+COUNTIF(D$8:D$31,"11-20")+COUNTIF(D$8:D$31,"11-21")+COUNTIF(D$8:D$31,"11-22")+COUNTIF(D$8:D$31,"11-23")+COUNTIF(D$8:D$31,"12-13")+COUNTIF(D$8:D$31,"12-14")+COUNTIF(D$8:D$31,"12-15")+COUNTIF(D$8:D$31,"12-16")+COUNTIF(D$8:D$31,"12-17")+COUNTIF(D$8:D$31,"12-18")+COUNTIF(D$8:D$31,"12-19")+COUNTIF(D$8:D$31,"12-20")+COUNTIF(D$8:D$31,"12-21")+COUNTIF(D$8:D$31,"12-22")+COUNTIF(D$8:D$31,"12-23")</f>
        <v>5</v>
      </c>
      <c r="E38" s="58">
        <f t="shared" si="7"/>
        <v>5</v>
      </c>
      <c r="F38" s="58">
        <f t="shared" si="7"/>
        <v>5</v>
      </c>
      <c r="G38" s="58">
        <f t="shared" si="7"/>
        <v>5</v>
      </c>
      <c r="H38" s="58">
        <f t="shared" si="7"/>
        <v>4</v>
      </c>
      <c r="I38" s="58">
        <f t="shared" si="7"/>
        <v>2</v>
      </c>
      <c r="J38" s="58">
        <f t="shared" si="7"/>
        <v>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8.5" customHeight="1">
      <c r="A39" s="55"/>
      <c r="B39" s="59" t="s">
        <v>62</v>
      </c>
      <c r="C39" s="62" t="s">
        <v>63</v>
      </c>
      <c r="D39" s="58">
        <f t="shared" ref="D39:J39" si="8">COUNTIF(D$8:D$31,"06-14")+COUNTIF(D$8:D$31,"06-15")+COUNTIF(D$8:D$31,"06-16")+COUNTIF(D$8:D$31,"06-17")+COUNTIF(D$8:D$31,"06-18")+COUNTIF(D$8:D$31,"06-19")+COUNTIF(D$8:D$31,"06-20")+COUNTIF(D$8:D$31,"06-21")+COUNTIF(D$8:D$31,"06-22")+COUNTIF(D$8:D$31,"06-23")+COUNTIF(D$8:D$31,"07-14")+COUNTIF(D$8:D$31,"07-15")+COUNTIF(D$8:D$31,"07-16")+COUNTIF(D$8:D$31,"07-17")+COUNTIF(D$8:D$31,"07-18")+COUNTIF(D$8:D$31,"07-19")+COUNTIF(D$8:D$31,"07-20")+COUNTIF(D$8:D$31,"07-21")+COUNTIF(D$8:D$31,"07-22")+COUNTIF(D$8:D$31,"07-23")+COUNTIF(D$8:D$31,"08-14")+COUNTIF(D$8:D$31,"08-15")+COUNTIF(D$8:D$31,"08-16")+COUNTIF(D$8:D$31,"08-17")+COUNTIF(D$8:D$31,"08-18")+COUNTIF(D$8:D$31,"08-19")+COUNTIF(D$8:D$31,"08-20")+COUNTIF(D$8:D$31,"08-21")+COUNTIF(D$8:D$31,"08-22")+COUNTIF(D$8:D$31,"08-23")+COUNTIF(D$8:D$31,"09-14")+COUNTIF(D$8:D$31,"09-15")+COUNTIF(D$8:D$31,"09-16")+COUNTIF(D$8:D$31,"09-17")+COUNTIF(D$8:D$31,"09-18")+COUNTIF(D$8:D$31,"09-19")+COUNTIF(D$8:D$31,"09-20")+COUNTIF(D$8:D$31,"09-21")+COUNTIF(D$8:D$31,"09-22")+COUNTIF(D$8:D$31,"09-23")+COUNTIF(D$8:D$31,"10-14")+COUNTIF(D$8:D$31,"10-15")+COUNTIF(D$8:D$31,"10-16")+COUNTIF(D$8:D$31,"10-17")+COUNTIF(D$8:D$31,"10-18")+COUNTIF(D$8:D$31,"10-19")+COUNTIF(D$8:D$31,"10-20")+COUNTIF(D$8:D$31,"10-21")+COUNTIF(D$8:D$31,"10-22")+COUNTIF(D$8:D$31,"10-23")+COUNTIF(D$8:D$31,"11-14")+COUNTIF(D$8:D$31,"11-15")+COUNTIF(D$8:D$31,"11-16")+COUNTIF(D$8:D$31,"11-17")+COUNTIF(D$8:D$31,"11-18")+COUNTIF(D$8:D$31,"11-19")+COUNTIF(D$8:D$31,"11-20")+COUNTIF(D$8:D$31,"11-21")+COUNTIF(D$8:D$31,"11-22")+COUNTIF(D$8:D$31,"11-23")+COUNTIF(D$8:D$31,"12-14")+COUNTIF(D$8:D$31,"12-15")+COUNTIF(D$8:D$31,"12-16")+COUNTIF(D$8:D$31,"12-17")+COUNTIF(D$8:D$31,"12-18")+COUNTIF(D$8:D$31,"12-19")+COUNTIF(D$8:D$31,"12-20")+COUNTIF(D$8:D$31,"12-21")+COUNTIF(D$8:D$31,"12-22")+COUNTIF(D$8:D$31,"12-23")+COUNTIF(D$8:D$31,"13-14")+COUNTIF(D$8:D$31,"13-15")+COUNTIF(D$8:D$31,"13-16")+COUNTIF(D$8:D$31,"13-17")+COUNTIF(D$8:D$31,"13-18")+COUNTIF(D$8:D$31,"13-19")+COUNTIF(D$8:D$31,"13-20")+COUNTIF(D$8:D$31,"13-21")+COUNTIF(D$8:D$31,"13-22")+COUNTIF(D$8:D$31,"13-23")</f>
        <v>5</v>
      </c>
      <c r="E39" s="58">
        <f t="shared" si="8"/>
        <v>5</v>
      </c>
      <c r="F39" s="58">
        <f t="shared" si="8"/>
        <v>5</v>
      </c>
      <c r="G39" s="58">
        <f t="shared" si="8"/>
        <v>5</v>
      </c>
      <c r="H39" s="58">
        <f t="shared" si="8"/>
        <v>4</v>
      </c>
      <c r="I39" s="58">
        <f t="shared" si="8"/>
        <v>2</v>
      </c>
      <c r="J39" s="58">
        <f t="shared" si="8"/>
        <v>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8.5" customHeight="1">
      <c r="A40" s="55"/>
      <c r="B40" s="63" t="s">
        <v>63</v>
      </c>
      <c r="C40" s="60" t="s">
        <v>64</v>
      </c>
      <c r="D40" s="58">
        <f t="shared" ref="D40:J40" si="9">COUNTIF(D$8:D$31,"06-15")+COUNTIF(D$8:D$31,"06-16")+COUNTIF(D$8:D$31,"06-17")+COUNTIF(D$8:D$31,"06-18")+COUNTIF(D$8:D$31,"06-19")+COUNTIF(D$8:D$31,"06-20")+COUNTIF(D$8:D$31,"06-21")+COUNTIF(D$8:D$31,"06-22")+COUNTIF(D$8:D$31,"06-23")+COUNTIF(D$8:D$31,"07-15")+COUNTIF(D$8:D$31,"07-16")+COUNTIF(D$8:D$31,"07-17")+COUNTIF(D$8:D$31,"07-18")+COUNTIF(D$8:D$31,"07-19")+COUNTIF(D$8:D$31,"07-20")+COUNTIF(D$8:D$31,"07-21")+COUNTIF(D$8:D$31,"07-22")+COUNTIF(D$8:D$31,"07-23")+COUNTIF(D$8:D$31,"08-15")+COUNTIF(D$8:D$31,"08-16")+COUNTIF(D$8:D$31,"08-17")+COUNTIF(D$8:D$31,"08-18")+COUNTIF(D$8:D$31,"08-19")+COUNTIF(D$8:D$31,"08-20")+COUNTIF(D$8:D$31,"08-21")+COUNTIF(D$8:D$31,"08-22")+COUNTIF(D$8:D$31,"08-23")+COUNTIF(D$8:D$31,"09-15")+COUNTIF(D$8:D$31,"09-16")+COUNTIF(D$8:D$31,"09-17")+COUNTIF(D$8:D$31,"09-18")+COUNTIF(D$8:D$31,"09-19")+COUNTIF(D$8:D$31,"09-20")+COUNTIF(D$8:D$31,"09-21")+COUNTIF(D$8:D$31,"09-22")+COUNTIF(D$8:D$31,"09-23")+COUNTIF(D$8:D$31,"10-15")+COUNTIF(D$8:D$31,"10-16")+COUNTIF(D$8:D$31,"10-17")+COUNTIF(D$8:D$31,"10-18")+COUNTIF(D$8:D$31,"10-19")+COUNTIF(D$8:D$31,"10-20")+COUNTIF(D$8:D$31,"10-21")+COUNTIF(D$8:D$31,"10-22")+COUNTIF(D$8:D$31,"10-23")+COUNTIF(D$8:D$31,"11-15")+COUNTIF(D$8:D$31,"11-16")+COUNTIF(D$8:D$31,"11-17")+COUNTIF(D$8:D$31,"11-18")+COUNTIF(D$8:D$31,"11-19")+COUNTIF(D$8:D$31,"11-20")+COUNTIF(D$8:D$31,"11-21")+COUNTIF(D$8:D$31,"11-22")+COUNTIF(D$8:D$31,"11-23")+COUNTIF(D$8:D$31,"12-15")+COUNTIF(D$8:D$31,"12-16")+COUNTIF(D$8:D$31,"12-17")+COUNTIF(D$8:D$31,"12-18")+COUNTIF(D$8:D$31,"12-19")+COUNTIF(D$8:D$31,"12-20")+COUNTIF(D$8:D$31,"12-21")+COUNTIF(D$8:D$31,"12-22")+COUNTIF(D$8:D$31,"12-23")+COUNTIF(D$8:D$31,"13-15")+COUNTIF(D$8:D$31,"13-16")+COUNTIF(D$8:D$31,"13-17")+COUNTIF(D$8:D$31,"13-18")+COUNTIF(D$8:D$31,"13-19")+COUNTIF(D$8:D$31,"13-20")+COUNTIF(D$8:D$31,"13-21")+COUNTIF(D$8:D$31,"13-22")+COUNTIF(D$8:D$31,"14-23")+COUNTIF(D$8:D$31,"14-15")+COUNTIF(D$8:D$31,"14-16")+COUNTIF(D$8:D$31,"14-17")+COUNTIF(D$8:D$31,"14-18")+COUNTIF(D$8:D$31,"14-19")+COUNTIF(D$8:D$31,"14-20")+COUNTIF(D$8:D$31,"14-21")+COUNTIF(D$8:D$31,"14-22")+COUNTIF(D$8:D$31,"14-23")</f>
        <v>5</v>
      </c>
      <c r="E40" s="58">
        <f t="shared" si="9"/>
        <v>5</v>
      </c>
      <c r="F40" s="58">
        <f t="shared" si="9"/>
        <v>5</v>
      </c>
      <c r="G40" s="58">
        <f t="shared" si="9"/>
        <v>5</v>
      </c>
      <c r="H40" s="58">
        <f t="shared" si="9"/>
        <v>4</v>
      </c>
      <c r="I40" s="58">
        <f t="shared" si="9"/>
        <v>2</v>
      </c>
      <c r="J40" s="58">
        <f t="shared" si="9"/>
        <v>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8.5" customHeight="1">
      <c r="A41" s="55"/>
      <c r="B41" s="59" t="s">
        <v>64</v>
      </c>
      <c r="C41" s="60" t="s">
        <v>65</v>
      </c>
      <c r="D41" s="58">
        <f t="shared" ref="D41:J41" si="10">COUNTIF(D$8:D$31,"06-16")+COUNTIF(D$8:D$31,"06-17")+COUNTIF(D$8:D$31,"06-18")+COUNTIF(D$8:D$31,"06-19")+COUNTIF(D$8:D$31,"06-20")+COUNTIF(D$8:D$31,"06-21")+COUNTIF(D$8:D$31,"06-22")+COUNTIF(D$8:D$31,"06-23")+COUNTIF(D$8:D$31,"07-16")+COUNTIF(D$8:D$31,"07-17")+COUNTIF(D$8:D$31,"07-18")+COUNTIF(D$8:D$31,"07-19")+COUNTIF(D$8:D$31,"07-20")+COUNTIF(D$8:D$31,"07-21")+COUNTIF(D$8:D$31,"07-22")+COUNTIF(D$8:D$31,"07-23")+COUNTIF(D$8:D$31,"08-16")+COUNTIF(D$8:D$31,"08-17")+COUNTIF(D$8:D$31,"08-18")+COUNTIF(D$8:D$31,"08-19")+COUNTIF(D$8:D$31,"08-20")+COUNTIF(D$8:D$31,"08-21")+COUNTIF(D$8:D$31,"08-22")+COUNTIF(D$8:D$31,"08-23")+COUNTIF(D$8:D$31,"09-16")+COUNTIF(D$8:D$31,"09-17")+COUNTIF(D$8:D$31,"09-18")+COUNTIF(D$8:D$31,"09-19")+COUNTIF(D$8:D$31,"09-20")+COUNTIF(D$8:D$31,"09-21")+COUNTIF(D$8:D$31,"09-22")+COUNTIF(D$8:D$31,"09-23")+COUNTIF(D$8:D$31,"10-16")+COUNTIF(D$8:D$31,"10-17")+COUNTIF(D$8:D$31,"10-18")+COUNTIF(D$8:D$31,"10-19")+COUNTIF(D$8:D$31,"10-20")+COUNTIF(D$8:D$31,"10-21")+COUNTIF(D$8:D$31,"10-22")+COUNTIF(D$8:D$31,"10-23")+COUNTIF(D$8:D$31,"11-16")+COUNTIF(D$8:D$31,"11-17")+COUNTIF(D$8:D$31,"11-18")+COUNTIF(D$8:D$31,"11-19")+COUNTIF(D$8:D$31,"11-20")+COUNTIF(D$8:D$31,"11-21")+COUNTIF(D$8:D$31,"11-22")+COUNTIF(D$8:D$31,"11-23")+COUNTIF(D$8:D$31,"12-16")+COUNTIF(D$8:D$31,"12-17")+COUNTIF(D$8:D$31,"12-18")+COUNTIF(D$8:D$31,"12-19")+COUNTIF(D$8:D$31,"12-20")+COUNTIF(D$8:D$31,"12-21")+COUNTIF(D$8:D$31,"12-22")+COUNTIF(D$8:D$31,"12-23")+COUNTIF(D$8:D$31,"13-16")+COUNTIF(D$8:D$31,"13-17")+COUNTIF(D$8:D$31,"13-18")+COUNTIF(D$8:D$31,"13-19")+COUNTIF(D$8:D$31,"13-20")+COUNTIF(D$8:D$31,"13-21")+COUNTIF(D$8:D$31,"13-22")+COUNTIF(D$8:D$31,"13-23")+COUNTIF(D$8:D$31,"14-16")+COUNTIF(D$8:D$31,"14-17")+COUNTIF(D$8:D$31,"14-18")+COUNTIF(D$8:D$31,"14-19")+COUNTIF(D$8:D$31,"14-20")+COUNTIF(D$8:D$31,"14-21")+COUNTIF(D$8:D$31,"14-22")+COUNTIF(D$8:D$31,"14-23")+COUNTIF(D$8:D$31,"15-16")+COUNTIF(D$8:D$31,"15-17")+COUNTIF(D$8:D$31,"15-18")+COUNTIF(D$8:D$31,"15-19")+COUNTIF(D$8:D$31,"15-20")+COUNTIF(D$8:D$31,"15-21")+COUNTIF(D$8:D$31,"15-22")+COUNTIF(D$8:D$31,"15-23")</f>
        <v>5</v>
      </c>
      <c r="E41" s="58">
        <f t="shared" si="10"/>
        <v>5</v>
      </c>
      <c r="F41" s="58">
        <f t="shared" si="10"/>
        <v>5</v>
      </c>
      <c r="G41" s="58">
        <f t="shared" si="10"/>
        <v>5</v>
      </c>
      <c r="H41" s="58">
        <f t="shared" si="10"/>
        <v>8</v>
      </c>
      <c r="I41" s="58">
        <f t="shared" si="10"/>
        <v>5</v>
      </c>
      <c r="J41" s="58">
        <f t="shared" si="10"/>
        <v>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8.5" customHeight="1">
      <c r="A42" s="55"/>
      <c r="B42" s="59" t="s">
        <v>65</v>
      </c>
      <c r="C42" s="60" t="s">
        <v>66</v>
      </c>
      <c r="D42" s="58">
        <f t="shared" ref="D42:J42" si="11">COUNTIF(D$8:D$31,"06-17")+COUNTIF(D$8:D$31,"06-18")+COUNTIF(D$8:D$31,"06-19")+COUNTIF(D$8:D$31,"06-20")+COUNTIF(D$8:D$31,"06-21")+COUNTIF(D$8:D$31,"06-22")+COUNTIF(D$8:D$31,"06-23")+COUNTIF(D$8:D$31,"07-17")+COUNTIF(D$8:D$31,"07-18")+COUNTIF(D$8:D$31,"07-19")+COUNTIF(D$8:D$31,"07-20")+COUNTIF(D$8:D$31,"07-21")+COUNTIF(D$8:D$31,"07-22")+COUNTIF(D$8:D$31,"07-23")+COUNTIF(D$8:D$31,"08-17")+COUNTIF(D$8:D$31,"08-18")+COUNTIF(D$8:D$31,"08-19")+COUNTIF(D$8:D$31,"08-20")+COUNTIF(D$8:D$31,"08-21")+COUNTIF(D$8:D$31,"08-22")+COUNTIF(D$8:D$31,"08-23")+COUNTIF(D$8:D$31,"09-17")+COUNTIF(D$8:D$31,"09-18")+COUNTIF(D$8:D$31,"09-19")+COUNTIF(D$8:D$31,"09-20")+COUNTIF(D$8:D$31,"09-21")+COUNTIF(D$8:D$31,"09-22")+COUNTIF(D$8:D$31,"09-23")+COUNTIF(D$8:D$31,"10-17")+COUNTIF(D$8:D$31,"10-18")+COUNTIF(D$8:D$31,"10-19")+COUNTIF(D$8:D$31,"10-20")+COUNTIF(D$8:D$31,"10-21")+COUNTIF(D$8:D$31,"10-22")+COUNTIF(D$8:D$31,"10-23")+COUNTIF(D$8:D$31,"11-17")+COUNTIF(D$8:D$31,"11-18")+COUNTIF(D$8:D$31,"11-19")+COUNTIF(D$8:D$31,"11-20")+COUNTIF(D$8:D$31,"11-21")+COUNTIF(D$8:D$31,"11-22")+COUNTIF(D$8:D$31,"11-23")+COUNTIF(D$8:D$31,"12-17")+COUNTIF(D$8:D$31,"12-18")+COUNTIF(D$8:D$31,"12-19")+COUNTIF(D$8:D$31,"12-20")+COUNTIF(D$8:D$31,"12-21")+COUNTIF(D$8:D$31,"12-22")+COUNTIF(D$8:D$31,"12-23")+COUNTIF(D$8:D$31,"13-17")+COUNTIF(D$8:D$31,"13-18")+COUNTIF(D$8:D$31,"13-19")+COUNTIF(D$8:D$31,"13-20")+COUNTIF(D$8:D$31,"13-21")+COUNTIF(D$8:D$31,"13-22")+COUNTIF(D$8:D$31,"13-23")+COUNTIF(D$8:D$31,"14-17")+COUNTIF(D$8:D$31,"14-18")+COUNTIF(D$8:D$31,"14-19")+COUNTIF(D$8:D$31,"14-20")+COUNTIF(D$8:D$31,"14-21")+COUNTIF(D$8:D$31,"14-22")+COUNTIF(D$8:D$31,"14-23")+COUNTIF(D$8:D$31,"15-17")+COUNTIF(D$8:D$31,"15-18")+COUNTIF(D$8:D$31,"15-19")+COUNTIF(D$8:D$31,"15-20")+COUNTIF(D$8:D$31,"15-21")+COUNTIF(D$8:D$31,"15-22")+COUNTIF(D$8:D$31,"15-23")+COUNTIF(D$8:D$31,"16-17")+COUNTIF(D$8:D$31,"16-18")+COUNTIF(D$8:D$31,"16-19")+COUNTIF(D$8:D$31,"16-20")+COUNTIF(D$8:D$31,"16-21")+COUNTIF(D$8:D$31,"16-22")+COUNTIF(D$8:D$31,"16-23")</f>
        <v>5</v>
      </c>
      <c r="E42" s="58">
        <f t="shared" si="11"/>
        <v>5</v>
      </c>
      <c r="F42" s="58">
        <f t="shared" si="11"/>
        <v>5</v>
      </c>
      <c r="G42" s="58">
        <f t="shared" si="11"/>
        <v>5</v>
      </c>
      <c r="H42" s="58">
        <f t="shared" si="11"/>
        <v>8</v>
      </c>
      <c r="I42" s="58">
        <f t="shared" si="11"/>
        <v>5</v>
      </c>
      <c r="J42" s="58">
        <f t="shared" si="11"/>
        <v>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8.5" customHeight="1">
      <c r="A43" s="55"/>
      <c r="B43" s="59" t="s">
        <v>66</v>
      </c>
      <c r="C43" s="60" t="s">
        <v>67</v>
      </c>
      <c r="D43" s="58">
        <f t="shared" ref="D43:J43" si="12">COUNTIF(D$8:D$31,"06-18")+COUNTIF(D$8:D$31,"06-19")+COUNTIF(D$8:D$31,"06-20")+COUNTIF(D$8:D$31,"06-21")+COUNTIF(D$8:D$31,"06-22")+COUNTIF(D$8:D$31,"06-23")+COUNTIF(D$8:D$31,"07-18")+COUNTIF(D$8:D$31,"07-19")+COUNTIF(D$8:D$31,"07-20")+COUNTIF(D$8:D$31,"07-21")+COUNTIF(D$8:D$31,"07-22")+COUNTIF(D$8:D$31,"07-23")+COUNTIF(D$8:D$31,"08-18")+COUNTIF(D$8:D$31,"08-19")+COUNTIF(D$8:D$31,"08-20")+COUNTIF(D$8:D$31,"08-21")+COUNTIF(D$8:D$31,"08-22")+COUNTIF(D$8:D$31,"08-23")+COUNTIF(D$8:D$31,"09-18")+COUNTIF(D$8:D$31,"09-19")+COUNTIF(D$8:D$31,"09-20")+COUNTIF(D$8:D$31,"09-21")+COUNTIF(D$8:D$31,"09-22")+COUNTIF(D$8:D$31,"09-23")+COUNTIF(D$8:D$31,"10-18")+COUNTIF(D$8:D$31,"10-19")+COUNTIF(D$8:D$31,"10-20")+COUNTIF(D$8:D$31,"10-21")+COUNTIF(D$8:D$31,"10-22")+COUNTIF(D$8:D$31,"10-23")+COUNTIF(D$8:D$31,"11-18")+COUNTIF(D$8:D$31,"11-19")+COUNTIF(D$8:D$31,"11-20")+COUNTIF(D$8:D$31,"11-21")+COUNTIF(D$8:D$31,"11-22")+COUNTIF(D$8:D$31,"11-23")+COUNTIF(D$8:D$31,"12-18")+COUNTIF(D$8:D$31,"12-19")+COUNTIF(D$8:D$31,"12-20")+COUNTIF(D$8:D$31,"12-21")+COUNTIF(D$8:D$31,"12-22")+COUNTIF(D$8:D$31,"12-23")+COUNTIF(D$8:D$31,"13-18")+COUNTIF(D$8:D$31,"13-19")+COUNTIF(D$8:D$31,"13-20")+COUNTIF(D$8:D$31,"13-21")+COUNTIF(D$8:D$31,"13-22")+COUNTIF(D$8:D$31,"13-23")+COUNTIF(D$8:D$31,"14-18")+COUNTIF(D$8:D$31,"14-19")+COUNTIF(D$8:D$31,"14-20")+COUNTIF(D$8:D$31,"14-21")+COUNTIF(D$8:D$31,"14-22")+COUNTIF(D$8:D$31,"14-23")+COUNTIF(D$8:D$31,"15-18")+COUNTIF(D$8:D$31,"15-19")+COUNTIF(D$8:D$31,"15-20")+COUNTIF(D$8:D$31,"15-21")+COUNTIF(D$8:D$31,"15-22")+COUNTIF(D$8:D$31,"15-23")+COUNTIF(D$8:D$31,"16-18")+COUNTIF(D$8:D$31,"16-19")+COUNTIF(D$8:D$31,"16-20")+COUNTIF(D$8:D$31,"16-21")+COUNTIF(D$8:D$31,"16-22")+COUNTIF(D$8:D$31,"16-23")+COUNTIF(D$8:D$31,"17-18")+COUNTIF(D$8:D$31,"17-19")+COUNTIF(D$8:D$31,"17-20")+COUNTIF(D$8:D$31,"17-21")+COUNTIF(D$8:D$31,"17-22")+COUNTIF(D$8:D$31,"17-23")</f>
        <v>5</v>
      </c>
      <c r="E43" s="58">
        <f t="shared" si="12"/>
        <v>5</v>
      </c>
      <c r="F43" s="58">
        <f t="shared" si="12"/>
        <v>5</v>
      </c>
      <c r="G43" s="58">
        <f t="shared" si="12"/>
        <v>5</v>
      </c>
      <c r="H43" s="58">
        <f t="shared" si="12"/>
        <v>8</v>
      </c>
      <c r="I43" s="58">
        <f t="shared" si="12"/>
        <v>5</v>
      </c>
      <c r="J43" s="58">
        <f t="shared" si="12"/>
        <v>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8.5" customHeight="1">
      <c r="A44" s="55"/>
      <c r="B44" s="59" t="s">
        <v>67</v>
      </c>
      <c r="C44" s="60" t="s">
        <v>68</v>
      </c>
      <c r="D44" s="58">
        <f t="shared" ref="D44:J44" si="13">COUNTIF(D$8:D$31,"06-19")+COUNTIF(D$8:D$31,"06-20")+COUNTIF(D$8:D$31,"06-21")+COUNTIF(D$8:D$31,"06-22")+COUNTIF(D$8:D$31,"06-23")+COUNTIF(D$8:D$31,"07-19")+COUNTIF(D$8:D$31,"07-20")+COUNTIF(D$8:D$31,"07-21")+COUNTIF(D$8:D$31,"07-22")+COUNTIF(D$8:D$31,"07-23")+COUNTIF(D$8:D$31,"08-19")+COUNTIF(D$8:D$31,"08-20")+COUNTIF(D$8:D$31,"08-21")+COUNTIF(D$8:D$31,"08-22")+COUNTIF(D$8:D$31,"08-23")+COUNTIF(D$8:D$31,"09-19")+COUNTIF(D$8:D$31,"09-20")+COUNTIF(D$8:D$31,"09-21")+COUNTIF(D$8:D$31,"09-22")+COUNTIF(D$8:D$31,"09-23")+COUNTIF(D$8:D$31,"10-19")+COUNTIF(D$8:D$31,"10-20")+COUNTIF(D$8:D$31,"10-21")+COUNTIF(D$8:D$31,"10-22")+COUNTIF(D$8:D$31,"10-23")+COUNTIF(D$8:D$31,"11-19")+COUNTIF(D$8:D$31,"11-20")+COUNTIF(D$8:D$31,"11-21")+COUNTIF(D$8:D$31,"11-22")+COUNTIF(D$8:D$31,"11-23")+COUNTIF(D$8:D$31,"12-19")+COUNTIF(D$8:D$31,"12-20")+COUNTIF(D$8:D$31,"12-21")+COUNTIF(D$8:D$31,"12-22")+COUNTIF(D$8:D$31,"12-23")+COUNTIF(D$8:D$31,"13-19")+COUNTIF(D$8:D$31,"13-20")+COUNTIF(D$8:D$31,"13-21")+COUNTIF(D$8:D$31,"13-22")+COUNTIF(D$8:D$31,"14-23")+COUNTIF(D$8:D$31,"14-19")+COUNTIF(D$8:D$31,"14-20")+COUNTIF(D$8:D$31,"14-21")+COUNTIF(D$8:D$31,"14-22")+COUNTIF(D$8:D$31,"14-23")+COUNTIF(D$8:D$31,"15-19")+COUNTIF(D$8:D$31,"15-20")+COUNTIF(D$8:D$31,"15-21")+COUNTIF(D$8:D$31,"15-22")+COUNTIF(D$8:D$31,"15-23")+COUNTIF(D$8:D$31,"16-19")+COUNTIF(D$8:D$31,"16-20")+COUNTIF(D$8:D$31,"16-21")+COUNTIF(D$8:D$31,"16-22")+COUNTIF(D$8:D$31,"16-23")+COUNTIF(D$8:D$31,"17-19")+COUNTIF(D$8:D$31,"17-20")+COUNTIF(D$8:D$31,"17-21")+COUNTIF(D$8:D$31,"17-22")+COUNTIF(D$8:D$31,"17-23")+COUNTIF(D$8:D$31,"18-19")+COUNTIF(D$8:D$31,"18-20")+COUNTIF(D$8:D$31,"18-21")+COUNTIF(D$8:D$31,"18-22")+COUNTIF(D$8:D$31,"18-23")</f>
        <v>5</v>
      </c>
      <c r="E44" s="58">
        <f t="shared" si="13"/>
        <v>5</v>
      </c>
      <c r="F44" s="58">
        <f t="shared" si="13"/>
        <v>5</v>
      </c>
      <c r="G44" s="58">
        <f t="shared" si="13"/>
        <v>5</v>
      </c>
      <c r="H44" s="58">
        <f t="shared" si="13"/>
        <v>7</v>
      </c>
      <c r="I44" s="58">
        <f t="shared" si="13"/>
        <v>6</v>
      </c>
      <c r="J44" s="58">
        <f t="shared" si="13"/>
        <v>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8.5" customHeight="1">
      <c r="A45" s="55"/>
      <c r="B45" s="59" t="s">
        <v>68</v>
      </c>
      <c r="C45" s="60" t="s">
        <v>69</v>
      </c>
      <c r="D45" s="58">
        <f t="shared" ref="D45:J45" si="14">COUNTIF(D$8:D$31,"06-20")+COUNTIF(D$8:D$31,"06-21")+COUNTIF(D$8:D$31,"06-22")+COUNTIF(D$8:D$31,"06-23")+COUNTIF(D$8:D$31,"07-20")+COUNTIF(D$8:D$31,"07-21")+COUNTIF(D$8:D$31,"07-22")+COUNTIF(D$8:D$31,"07-23")+COUNTIF(D$8:D$31,"08-20")+COUNTIF(D$8:D$31,"08-21")+COUNTIF(D$8:D$31,"08-22")+COUNTIF(D$8:D$31,"08-23")+COUNTIF(D$8:D$31,"09-20")+COUNTIF(D$8:D$31,"09-21")+COUNTIF(D$8:D$31,"09-22")+COUNTIF(D$8:D$31,"09-23")+COUNTIF(D$8:D$31,"10-20")+COUNTIF(D$8:D$31,"10-21")+COUNTIF(D$8:D$31,"10-22")+COUNTIF(D$8:D$31,"10-23")+COUNTIF(D$8:D$31,"11-20")+COUNTIF(D$8:D$31,"11-21")+COUNTIF(D$8:D$31,"11-22")+COUNTIF(D$8:D$31,"11-23")+COUNTIF(D$8:D$31,"12-20")+COUNTIF(D$8:D$31,"12-21")+COUNTIF(D$8:D$31,"12-22")+COUNTIF(D$8:D$31,"12-23")+COUNTIF(D$8:D$31,"13-20")+COUNTIF(D$8:D$31,"13-21")+COUNTIF(D$8:D$31,"13-22")+COUNTIF(D$8:D$31,"13-23")+COUNTIF(D$8:D$31,"14-20")+COUNTIF(D$8:D$31,"14-21")+COUNTIF(D$8:D$31,"14-22")+COUNTIF(D$8:D$31,"14-23")+COUNTIF(D$8:D$31,"15-20")+COUNTIF(D$8:D$31,"15-21")+COUNTIF(D$8:D$31,"15-22")+COUNTIF(D$8:D$31,"15-23")+COUNTIF(D$8:D$31,"16-20")+COUNTIF(D$8:D$31,"16-21")+COUNTIF(D$8:D$31,"16-22")+COUNTIF(D$8:D$31,"16-23")+COUNTIF(D$8:D$31,"17-20")+COUNTIF(D$8:D$31,"17-21")+COUNTIF(D$8:D$31,"17-22")+COUNTIF(D$8:D$31,"17-23")+COUNTIF(D$8:D$31,"18-20")+COUNTIF(D$8:D$31,"18-21")+COUNTIF(D$8:D$31,"18-22")+COUNTIF(D$8:D$31,"18-23")+COUNTIF(D$8:D$31,"19-20")+COUNTIF(D$8:D$31,"19-21")+COUNTIF(D$8:D$31,"19-22")+COUNTIF(D$8:D$31,"19-23")</f>
        <v>5</v>
      </c>
      <c r="E45" s="58">
        <f t="shared" si="14"/>
        <v>5</v>
      </c>
      <c r="F45" s="58">
        <f t="shared" si="14"/>
        <v>5</v>
      </c>
      <c r="G45" s="58">
        <f t="shared" si="14"/>
        <v>5</v>
      </c>
      <c r="H45" s="58">
        <f t="shared" si="14"/>
        <v>7</v>
      </c>
      <c r="I45" s="58">
        <f t="shared" si="14"/>
        <v>6</v>
      </c>
      <c r="J45" s="58">
        <f t="shared" si="14"/>
        <v>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8.5" customHeight="1">
      <c r="A46" s="55"/>
      <c r="B46" s="59" t="s">
        <v>69</v>
      </c>
      <c r="C46" s="60" t="s">
        <v>70</v>
      </c>
      <c r="D46" s="58">
        <f t="shared" ref="D46:J46" si="15">COUNTIF(D$8:D$31,"06-21")+COUNTIF(D$8:D$31,"06-22")+COUNTIF(D$8:D$31,"06-23")+COUNTIF(D$8:D$31,"07-21")+COUNTIF(D$8:D$31,"07-22")+COUNTIF(D$8:D$31,"07-23")+COUNTIF(D$8:D$31,"08-20")+COUNTIF(D$8:D$31,"08-21")+COUNTIF(D$8:D$31,"08-22")+COUNTIF(D$8:D$31,"08-23")+COUNTIF(D$8:D$31,"09-21")+COUNTIF(D$8:D$31,"09-22")+COUNTIF(D$8:D$31,"09-23")+COUNTIF(D$8:D$31,"10-21")+COUNTIF(D$8:D$31,"10-22")+COUNTIF(D$8:D$31,"10-23")+COUNTIF(D$8:D$31,"11-21")+COUNTIF(D$8:D$31,"11-22")+COUNTIF(D$8:D$31,"11-23")+COUNTIF(D$8:D$31,"12-21")+COUNTIF(D$8:D$31,"12-22")+COUNTIF(D$8:D$31,"12-23")+COUNTIF(D$8:D$31,"13-21")+COUNTIF(D$8:D$31,"13-22")+COUNTIF(D$8:D$31,"13-23")+COUNTIF(D$8:D$31,"14-21")+COUNTIF(D$8:D$31,"14-22")+COUNTIF(D$8:D$31,"14-23")+COUNTIF(D$8:D$31,"15-21")+COUNTIF(D$8:D$31,"15-22")+COUNTIF(D$8:D$31,"15-23")+COUNTIF(D$8:D$31,"16-21")+COUNTIF(D$8:D$31,"16-22")+COUNTIF(D$8:D$31,"16-23")+COUNTIF(D$8:D$31,"17-21")+COUNTIF(D$8:D$31,"17-22")+COUNTIF(D$8:D$31,"17-23")+COUNTIF(D$8:D$31,"18-21")+COUNTIF(D$8:D$31,"18-22")+COUNTIF(D$8:D$31,"18-23")+COUNTIF(D$8:D$31,"19-21")+COUNTIF(D$8:D$31,"19-22")+COUNTIF(D$8:D$31,"19-23")+COUNTIF(D$8:D$31,"20-21")+COUNTIF(D$8:D$31,"20-22")+COUNTIF(D$8:D$31,"20-23")</f>
        <v>5</v>
      </c>
      <c r="E46" s="58">
        <f t="shared" si="15"/>
        <v>5</v>
      </c>
      <c r="F46" s="58">
        <f t="shared" si="15"/>
        <v>5</v>
      </c>
      <c r="G46" s="58">
        <f t="shared" si="15"/>
        <v>5</v>
      </c>
      <c r="H46" s="58">
        <f t="shared" si="15"/>
        <v>7</v>
      </c>
      <c r="I46" s="58">
        <f t="shared" si="15"/>
        <v>6</v>
      </c>
      <c r="J46" s="58">
        <f t="shared" si="15"/>
        <v>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8.5" customHeight="1">
      <c r="A47" s="55"/>
      <c r="B47" s="59" t="s">
        <v>70</v>
      </c>
      <c r="C47" s="60" t="s">
        <v>71</v>
      </c>
      <c r="D47" s="58">
        <f t="shared" ref="D47:J47" si="16">COUNTIF(D$8:D$31,"06-22")+COUNTIF(D$8:D$31,"06-23")+COUNTIF(D$8:D$31,"07-22")+COUNTIF(D$8:D$31,"07-23")+COUNTIF(D$8:D$31,"08-22")+COUNTIF(D$8:D$31,"08-23")+COUNTIF(D$8:D$31,"09-22")+COUNTIF(D$8:D$31,"09-23")+COUNTIF(D$8:D$31,"10-22")+COUNTIF(D$8:D$31,"10-23")+COUNTIF(D$8:D$31,"11-22")+COUNTIF(D$8:D$31,"11-23")+COUNTIF(D$8:D$31,"12-22")+COUNTIF(D$8:D$31,"12-23")+COUNTIF(D$8:D$31,"13-22")+COUNTIF(D$8:D$31,"13-23")+COUNTIF(D$8:D$31,"14-22")+COUNTIF(D$8:D$31,"14-23")+COUNTIF(D$8:D$31,"15-22")+COUNTIF(D$8:D$31,"15-23")+COUNTIF(D$8:D$31,"16-22")+COUNTIF(D$8:D$31,"16-23")+COUNTIF(D$8:D$31,"17-22")+COUNTIF(D$8:D$31,"17-23")+COUNTIF(D$8:D$31,"18-22")+COUNTIF(D$8:D$31,"18-23")+COUNTIF(D$8:D$31,"19-22")+COUNTIF(D$8:D$31,"19-23")+COUNTIF(D$8:D$31,"20-22")+COUNTIF(D$8:D$31,"20-23")+COUNTIF(D$8:D$31,"21-22")+COUNTIF(D$8:D$31,"21-23")</f>
        <v>5</v>
      </c>
      <c r="E47" s="58">
        <f t="shared" si="16"/>
        <v>5</v>
      </c>
      <c r="F47" s="58">
        <f t="shared" si="16"/>
        <v>5</v>
      </c>
      <c r="G47" s="58">
        <f t="shared" si="16"/>
        <v>5</v>
      </c>
      <c r="H47" s="58">
        <f t="shared" si="16"/>
        <v>7</v>
      </c>
      <c r="I47" s="58">
        <f t="shared" si="16"/>
        <v>6</v>
      </c>
      <c r="J47" s="58">
        <f t="shared" si="16"/>
        <v>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8.5" customHeight="1">
      <c r="A48" s="55"/>
      <c r="B48" s="64" t="s">
        <v>71</v>
      </c>
      <c r="C48" s="65" t="s">
        <v>72</v>
      </c>
      <c r="D48" s="58">
        <f t="shared" ref="D48:J48" si="17">COUNTIF(D$8:D$31,"06-23")+COUNTIF(D$8:D$31,"07-23")+COUNTIF(D$8:D$31,"08-23")+COUNTIF(D$8:D$31,"09-23")+COUNTIF(D$8:D$31,"10-23")+COUNTIF(D$8:D$31,"11-23")+COUNTIF(D$8:D$31,"12-23")+COUNTIF(D$8:D$31,"13-23")+COUNTIF(D$8:D$31,"14-23")+COUNTIF(D$8:D$31,"15-23")+COUNTIF(D$8:D$31,"16-23")+COUNTIF(D$8:D$31,"17-23")+COUNTIF(D$8:D$31,"18-23")+COUNTIF(D$8:D$31,"19-23")+COUNTIF(D$8:D$31,"20-23")+COUNTIF(D$8:D$31,"21-23")+countif(D$8:D$31,"22-23")</f>
        <v>5</v>
      </c>
      <c r="E48" s="58">
        <f t="shared" si="17"/>
        <v>5</v>
      </c>
      <c r="F48" s="58">
        <f t="shared" si="17"/>
        <v>5</v>
      </c>
      <c r="G48" s="58">
        <f t="shared" si="17"/>
        <v>5</v>
      </c>
      <c r="H48" s="58">
        <f t="shared" si="17"/>
        <v>7</v>
      </c>
      <c r="I48" s="58">
        <f t="shared" si="17"/>
        <v>6</v>
      </c>
      <c r="J48" s="58">
        <f t="shared" si="17"/>
        <v>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8.5" customHeight="1">
      <c r="A49" s="55"/>
      <c r="B49" s="66"/>
      <c r="C49" s="67"/>
      <c r="D49" s="58"/>
      <c r="E49" s="58"/>
      <c r="F49" s="58"/>
      <c r="G49" s="58"/>
      <c r="H49" s="58"/>
      <c r="I49" s="58"/>
      <c r="J49" s="5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8.5" customHeight="1">
      <c r="A50" s="55"/>
      <c r="B50" s="8"/>
      <c r="C50" s="68"/>
      <c r="D50" s="68"/>
      <c r="E50" s="8" t="s">
        <v>44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8.5" customHeight="1">
      <c r="A51" s="55"/>
      <c r="B51" s="69"/>
      <c r="C51" s="70" t="s">
        <v>73</v>
      </c>
      <c r="D51" s="71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8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8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8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8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8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8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8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8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8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8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8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8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8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8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8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8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8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8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8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8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8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8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8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8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8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8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8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8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8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8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8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8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8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8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8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8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8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8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8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8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8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8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8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8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8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8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8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8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8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8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8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8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8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8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8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8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8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8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8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8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8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8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8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8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8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8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8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8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8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8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8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8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8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8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8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8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8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8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8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8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8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8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8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8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8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8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8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8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8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8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8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8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8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8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8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8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8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8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8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8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8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8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8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8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8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8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8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8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8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8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8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8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8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8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8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8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8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8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8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8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8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8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8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8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8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8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8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8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8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8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8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8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8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8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8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8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8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8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8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8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8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8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8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8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8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8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8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8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8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8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8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8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8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8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8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8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8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8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8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8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8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8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8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8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8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8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8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8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8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8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8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8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8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8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8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8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8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8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8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8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8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8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8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8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8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8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8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8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8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8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8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8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8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8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8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8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8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8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8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8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8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8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8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8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8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8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8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8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8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8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8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8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8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8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8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8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8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8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8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8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8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8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8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8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8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8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8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8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8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8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8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8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8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8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8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8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8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8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8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8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8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8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8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8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8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8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8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8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8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8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8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8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8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8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8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8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8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8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8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8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8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8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8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8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8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8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8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8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8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8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8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8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8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8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8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8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8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8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8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8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8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8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8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8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8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8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8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8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8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8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8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8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8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8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8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8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8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8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8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8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8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8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8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8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8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8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8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8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8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8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8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8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8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8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8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8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8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8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8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8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8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8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8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8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8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8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8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8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8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8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8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8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8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8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8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8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8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8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8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8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8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8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8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8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8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8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8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8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8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8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8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8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8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8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8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8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8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8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8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8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8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8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8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8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8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8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8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8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8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8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8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8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8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8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8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8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8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8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8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8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8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8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8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8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8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8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8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8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8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8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8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8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8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8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8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8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8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8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8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8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8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8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8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8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8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8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8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8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8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8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8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8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8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8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8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8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8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8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8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8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8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8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8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8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8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8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8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8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8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8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8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8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8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8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8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8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8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28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28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28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28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28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28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28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28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28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28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28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28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28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28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28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28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28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28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28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28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28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28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28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28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28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28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28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28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28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28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28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28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28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28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28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28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28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28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28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28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28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28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28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28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28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28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28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28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28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28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28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28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28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28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28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28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28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28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28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28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28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28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28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28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28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28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28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28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28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28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28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28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28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28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28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28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28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28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28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28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28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28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28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28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28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28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28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28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28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28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28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28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28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28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28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28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28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28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28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28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28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28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28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28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28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28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28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28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28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28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28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28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28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28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28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28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28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28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28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28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28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28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28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28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28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28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28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28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28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28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28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28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28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28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28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28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28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28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28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28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28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28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28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28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28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28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28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28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28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28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28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28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28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28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28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28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28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28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28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28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28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28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28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28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28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28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28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28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28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28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28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28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28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28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28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28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28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28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28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28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28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28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28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28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28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28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28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28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28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28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28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28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28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28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28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28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28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28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28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28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28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28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28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28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28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28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28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28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28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28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28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28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28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28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28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28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28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28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28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28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28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28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28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28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28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28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28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28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28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28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28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28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28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28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28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28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28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28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28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28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28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28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28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28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28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28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28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28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28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28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28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28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28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28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28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28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28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28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28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28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28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28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28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28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28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28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28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28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28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28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28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28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28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28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28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28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28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28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28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28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28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28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28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28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28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28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28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28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28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28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28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28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28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28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28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28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28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28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28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28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28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28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28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28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28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28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28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28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28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28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28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28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28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28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28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28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28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28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28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28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28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28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28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28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28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28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28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28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28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28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28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28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28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28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28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28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28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28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28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28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28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28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28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28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28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28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28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28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28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28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28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28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28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28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28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28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28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28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28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28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28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28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28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28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28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28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28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28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28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28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28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28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28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28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28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28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28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28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28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28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28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28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28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28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28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28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28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28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28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28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28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28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28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28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28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28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28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28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28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28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28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28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28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28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28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28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28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28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28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28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28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28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28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28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28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28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28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28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28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28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28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28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28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28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28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28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28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28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28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28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28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28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28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28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28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28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28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28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28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28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28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28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28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28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28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28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28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28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28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28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28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28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28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28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28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28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28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28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28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28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28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28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28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28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28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28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28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28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28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28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28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28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28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28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28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28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28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28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28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28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28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28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28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28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28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28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28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28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28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28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28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28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28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28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28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28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28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28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28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28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28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28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28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28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28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28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</sheetData>
  <mergeCells count="3">
    <mergeCell ref="D1:J4"/>
    <mergeCell ref="B6:B7"/>
    <mergeCell ref="C6:C7"/>
  </mergeCells>
  <conditionalFormatting sqref="K5">
    <cfRule type="notContainsBlanks" dxfId="0" priority="1">
      <formula>LEN(TRIM(K5))&gt;0</formula>
    </cfRule>
  </conditionalFormatting>
  <conditionalFormatting sqref="L5">
    <cfRule type="notContainsBlanks" dxfId="0" priority="2">
      <formula>LEN(TRIM(L5))&gt;0</formula>
    </cfRule>
  </conditionalFormatting>
  <conditionalFormatting sqref="M23">
    <cfRule type="notContainsBlanks" dxfId="0" priority="3">
      <formula>LEN(TRIM(M23))&gt;0</formula>
    </cfRule>
  </conditionalFormatting>
  <conditionalFormatting sqref="D8:J26">
    <cfRule type="containsText" dxfId="0" priority="4" operator="containsText" text="AL">
      <formula>NOT(ISERROR(SEARCH(("AL"),(D8))))</formula>
    </cfRule>
  </conditionalFormatting>
  <conditionalFormatting sqref="D8:J26">
    <cfRule type="containsText" dxfId="1" priority="5" operator="containsText" text="OFF">
      <formula>NOT(ISERROR(SEARCH(("OFF"),(D8))))</formula>
    </cfRule>
  </conditionalFormatting>
  <conditionalFormatting sqref="D8:J26">
    <cfRule type="containsText" dxfId="2" priority="6" operator="containsText" text="06-12">
      <formula>NOT(ISERROR(SEARCH(("06-12"),(D8))))</formula>
    </cfRule>
  </conditionalFormatting>
  <conditionalFormatting sqref="H8:H28 D9:G28 I9:J28">
    <cfRule type="containsText" dxfId="2" priority="7" operator="containsText" text="06-18">
      <formula>NOT(ISERROR(SEARCH(("06-18"),(H8))))</formula>
    </cfRule>
  </conditionalFormatting>
  <conditionalFormatting sqref="D8:J26">
    <cfRule type="containsText" dxfId="2" priority="8" operator="containsText" text="06-15">
      <formula>NOT(ISERROR(SEARCH(("06-15"),(D8))))</formula>
    </cfRule>
  </conditionalFormatting>
  <conditionalFormatting sqref="D8:J26">
    <cfRule type="containsText" dxfId="3" priority="9" operator="containsText" text="06-23">
      <formula>NOT(ISERROR(SEARCH(("06-23"),(D8))))</formula>
    </cfRule>
  </conditionalFormatting>
  <drawing r:id="rId4"/>
  <legacyDrawing r:id="rId5"/>
</worksheet>
</file>